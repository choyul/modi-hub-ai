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표지·요약" sheetId="1" state="visible" r:id="rId1"/>
    <sheet xmlns:r="http://schemas.openxmlformats.org/officeDocument/2006/relationships" name="②사용자유형" sheetId="2" state="visible" r:id="rId2"/>
    <sheet xmlns:r="http://schemas.openxmlformats.org/officeDocument/2006/relationships" name="③QA체크시트" sheetId="3" state="visible" r:id="rId3"/>
    <sheet xmlns:r="http://schemas.openxmlformats.org/officeDocument/2006/relationships" name="④기능커버리지" sheetId="4" state="visible" r:id="rId4"/>
    <sheet xmlns:r="http://schemas.openxmlformats.org/officeDocument/2006/relationships" name="⑤결함·제약" sheetId="5" state="visible" r:id="rId5"/>
    <sheet xmlns:r="http://schemas.openxmlformats.org/officeDocument/2006/relationships" name="⑥실측지표" sheetId="6" state="visible" r:id="rId6"/>
    <sheet xmlns:r="http://schemas.openxmlformats.org/officeDocument/2006/relationships" name="⑦평가셋" sheetId="7" state="visible" r:id="rId7"/>
    <sheet xmlns:r="http://schemas.openxmlformats.org/officeDocument/2006/relationships" name="⑧평가셋상세" sheetId="8" state="visible" r:id="rId8"/>
  </sheets>
  <definedNames>
    <definedName name="_xlnm._FilterDatabase" localSheetId="2" hidden="1">'③QA체크시트'!$A$4:$L$81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8201B"/>
      <sz val="18"/>
    </font>
    <font>
      <name val="Arial"/>
      <color rgb="006B7280"/>
      <sz val="9"/>
    </font>
    <font>
      <name val="Arial"/>
      <b val="1"/>
      <color rgb="0018201B"/>
      <sz val="10"/>
    </font>
    <font>
      <name val="Arial"/>
      <color rgb="0018201B"/>
      <sz val="10"/>
    </font>
    <font>
      <name val="Arial"/>
      <b val="1"/>
      <color rgb="001F5D46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Courier New"/>
      <color rgb="006B7280"/>
      <sz val="9"/>
    </font>
    <font>
      <name val="Arial"/>
      <b val="1"/>
      <color rgb="001F5D46"/>
      <sz val="10"/>
    </font>
    <font>
      <name val="Arial"/>
      <b val="1"/>
      <color rgb="00A8452F"/>
      <sz val="10"/>
    </font>
    <font>
      <name val="Arial"/>
      <b val="1"/>
      <color rgb="008A6115"/>
      <sz val="11"/>
    </font>
    <font>
      <name val="Arial"/>
      <b val="1"/>
      <color rgb="006B7280"/>
      <sz val="10"/>
    </font>
    <font>
      <name val="Arial"/>
      <b val="1"/>
      <color rgb="008A6115"/>
      <sz val="10"/>
    </font>
    <font>
      <name val="Arial"/>
      <i val="1"/>
      <color rgb="006B7280"/>
      <sz val="9"/>
    </font>
    <font>
      <name val="Arial"/>
      <i val="1"/>
      <color rgb="008A6115"/>
      <sz val="9"/>
    </font>
  </fonts>
  <fills count="7">
    <fill>
      <patternFill/>
    </fill>
    <fill>
      <patternFill patternType="gray125"/>
    </fill>
    <fill>
      <patternFill patternType="solid">
        <fgColor rgb="001F5D46"/>
      </patternFill>
    </fill>
    <fill>
      <patternFill patternType="solid">
        <fgColor rgb="00F7F8F5"/>
      </patternFill>
    </fill>
    <fill>
      <patternFill patternType="solid">
        <fgColor rgb="00FDF6E3"/>
      </patternFill>
    </fill>
    <fill>
      <patternFill patternType="solid">
        <fgColor rgb="00E8F0EA"/>
      </patternFill>
    </fill>
    <fill>
      <patternFill patternType="solid">
        <fgColor rgb="00F0F4F1"/>
      </patternFill>
    </fill>
  </fills>
  <borders count="2">
    <border>
      <left/>
      <right/>
      <top/>
      <bottom/>
      <diagonal/>
    </border>
    <border>
      <left style="thin">
        <color rgb="00D8DCD6"/>
      </left>
      <right style="thin">
        <color rgb="00D8DCD6"/>
      </right>
      <top style="thin">
        <color rgb="00D8DCD6"/>
      </top>
      <bottom style="thin">
        <color rgb="00D8DCD6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4" fillId="4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6" customHeight="1">
      <c r="A1" s="1" t="inlineStr">
        <is>
          <t>MODI 허브 · QA 테스트 결과보고서</t>
        </is>
      </c>
    </row>
    <row r="2">
      <c r="A2" s="2" t="inlineStr">
        <is>
          <t>봉화읍 도시재생 거점시설 공간검색·미충족수요 수집 서비스 — 사용자 유형별 전 기능 검증</t>
        </is>
      </c>
    </row>
    <row r="4">
      <c r="A4" s="3" t="inlineStr">
        <is>
          <t>테스트 대상</t>
        </is>
      </c>
      <c r="B4" s="4" t="inlineStr">
        <is>
          <t>https://modi-hub-ai.vercel.app</t>
        </is>
      </c>
    </row>
    <row r="5">
      <c r="A5" s="3" t="inlineStr">
        <is>
          <t>데이터 기준</t>
        </is>
      </c>
      <c r="B5" s="4" t="inlineStr">
        <is>
          <t>봉화읍 도시재생 인정사업 거점시설 운영계획서 v3 (2026.8.11 확정) · 공간 11건</t>
        </is>
      </c>
    </row>
    <row r="6">
      <c r="A6" s="3" t="inlineStr">
        <is>
          <t>테스트 환경</t>
        </is>
      </c>
      <c r="B6" s="4" t="inlineStr">
        <is>
          <t>운영(Production) — Vercel Serverless + Supabase(서울 리전)</t>
        </is>
      </c>
    </row>
    <row r="7">
      <c r="A7" s="3" t="inlineStr">
        <is>
          <t>테스트 방식</t>
        </is>
      </c>
      <c r="B7" s="4" t="inlineStr">
        <is>
          <t>API 실호출 + DB 직접 검증 + 빌드 산출물 정적 검사 (자동화 스크립트 scripts/qa-suite.mjs)</t>
        </is>
      </c>
    </row>
    <row r="8">
      <c r="A8" s="3" t="inlineStr">
        <is>
          <t>테스트 범위</t>
        </is>
      </c>
      <c r="B8" s="4" t="inlineStr">
        <is>
          <t>권한 5종(게스트·신청자·공무원·담당자·시스템) × 기능영역 10종</t>
        </is>
      </c>
    </row>
    <row r="9">
      <c r="A9" s="3" t="inlineStr">
        <is>
          <t>작성</t>
        </is>
      </c>
      <c r="B9" s="4" t="inlineStr">
        <is>
          <t>봉화군 도시계획과 도시재생팀</t>
        </is>
      </c>
    </row>
    <row r="11">
      <c r="A11" s="5" t="inlineStr">
        <is>
          <t>■ 결과 요약</t>
        </is>
      </c>
    </row>
    <row r="12" ht="26" customHeight="1">
      <c r="A12" s="6" t="inlineStr">
        <is>
          <t>구분</t>
        </is>
      </c>
      <c r="B12" s="6" t="inlineStr">
        <is>
          <t>대상 인원/역할</t>
        </is>
      </c>
      <c r="C12" s="6" t="inlineStr">
        <is>
          <t>총 건수</t>
        </is>
      </c>
      <c r="D12" s="6" t="inlineStr">
        <is>
          <t>통과</t>
        </is>
      </c>
      <c r="E12" s="6" t="inlineStr">
        <is>
          <t>실패</t>
        </is>
      </c>
      <c r="F12" s="6" t="inlineStr">
        <is>
          <t>통과율</t>
        </is>
      </c>
    </row>
    <row r="13">
      <c r="A13" s="7" t="inlineStr">
        <is>
          <t>G 게스트</t>
        </is>
      </c>
      <c r="B13" s="8" t="inlineStr">
        <is>
          <t>주민·대리검색자 (로그인 없음)</t>
        </is>
      </c>
      <c r="C13" s="9">
        <f>COUNTIF('③QA체크시트'!C:C,"G*")</f>
        <v/>
      </c>
      <c r="D13" s="9">
        <f>COUNTIFS('③QA체크시트'!C:C,"G*",'③QA체크시트'!L:L,"PASS")</f>
        <v/>
      </c>
      <c r="E13" s="9">
        <f>COUNTIFS('③QA체크시트'!C:C,"G*",'③QA체크시트'!L:L,"FAIL")</f>
        <v/>
      </c>
      <c r="F13" s="10">
        <f>IF(C13=0,0,D13/C13)</f>
        <v/>
      </c>
    </row>
    <row r="14">
      <c r="A14" s="7" t="inlineStr">
        <is>
          <t>U 신청자</t>
        </is>
      </c>
      <c r="B14" s="8" t="inlineStr">
        <is>
          <t>대관 신청 주민 (Supabase Auth 실계정)</t>
        </is>
      </c>
      <c r="C14" s="9">
        <f>COUNTIF('③QA체크시트'!C:C,"U*")</f>
        <v/>
      </c>
      <c r="D14" s="9">
        <f>COUNTIFS('③QA체크시트'!C:C,"U*",'③QA체크시트'!L:L,"PASS")</f>
        <v/>
      </c>
      <c r="E14" s="9">
        <f>COUNTIFS('③QA체크시트'!C:C,"U*",'③QA체크시트'!L:L,"FAIL")</f>
        <v/>
      </c>
      <c r="F14" s="10">
        <f>IF(C14=0,0,D14/C14)</f>
        <v/>
      </c>
    </row>
    <row r="15">
      <c r="A15" s="7" t="inlineStr">
        <is>
          <t>O 공무원</t>
        </is>
      </c>
      <c r="B15" s="8" t="inlineStr">
        <is>
          <t>공무원 (내부 URL 조회)</t>
        </is>
      </c>
      <c r="C15" s="9">
        <f>COUNTIF('③QA체크시트'!C:C,"O*")</f>
        <v/>
      </c>
      <c r="D15" s="9">
        <f>COUNTIFS('③QA체크시트'!C:C,"O*",'③QA체크시트'!L:L,"PASS")</f>
        <v/>
      </c>
      <c r="E15" s="9">
        <f>COUNTIFS('③QA체크시트'!C:C,"O*",'③QA체크시트'!L:L,"FAIL")</f>
        <v/>
      </c>
      <c r="F15" s="10">
        <f>IF(C15=0,0,D15/C15)</f>
        <v/>
      </c>
    </row>
    <row r="16">
      <c r="A16" s="7" t="inlineStr">
        <is>
          <t>A 담당자</t>
        </is>
      </c>
      <c r="B16" s="8" t="inlineStr">
        <is>
          <t>도시재생팀 담당자 (ADMIN_TOKEN)</t>
        </is>
      </c>
      <c r="C16" s="9">
        <f>COUNTIF('③QA체크시트'!C:C,"A*")</f>
        <v/>
      </c>
      <c r="D16" s="9">
        <f>COUNTIFS('③QA체크시트'!C:C,"A*",'③QA체크시트'!L:L,"PASS")</f>
        <v/>
      </c>
      <c r="E16" s="9">
        <f>COUNTIFS('③QA체크시트'!C:C,"A*",'③QA체크시트'!L:L,"FAIL")</f>
        <v/>
      </c>
      <c r="F16" s="10">
        <f>IF(C16=0,0,D16/C16)</f>
        <v/>
      </c>
    </row>
    <row r="17">
      <c r="A17" s="7" t="inlineStr">
        <is>
          <t>S 시스템</t>
        </is>
      </c>
      <c r="B17" s="8" t="inlineStr">
        <is>
          <t>배치·보안·데이터 무결성</t>
        </is>
      </c>
      <c r="C17" s="9">
        <f>COUNTIF('③QA체크시트'!C:C,"S*")</f>
        <v/>
      </c>
      <c r="D17" s="9">
        <f>COUNTIFS('③QA체크시트'!C:C,"S*",'③QA체크시트'!L:L,"PASS")</f>
        <v/>
      </c>
      <c r="E17" s="9">
        <f>COUNTIFS('③QA체크시트'!C:C,"S*",'③QA체크시트'!L:L,"FAIL")</f>
        <v/>
      </c>
      <c r="F17" s="10">
        <f>IF(C17=0,0,D17/C17)</f>
        <v/>
      </c>
    </row>
    <row r="18">
      <c r="A18" s="11" t="inlineStr">
        <is>
          <t>합계</t>
        </is>
      </c>
      <c r="B18" s="11" t="inlineStr">
        <is>
          <t>전체</t>
        </is>
      </c>
      <c r="C18" s="12">
        <f>SUM(C13:C17)</f>
        <v/>
      </c>
      <c r="D18" s="12">
        <f>SUM(D13:D17)</f>
        <v/>
      </c>
      <c r="E18" s="12">
        <f>SUM(E13:E17)</f>
        <v/>
      </c>
      <c r="F18" s="13">
        <f>IF(C18=0,0,D18/C18)</f>
        <v/>
      </c>
    </row>
    <row r="20">
      <c r="A20" s="5" t="inlineStr">
        <is>
          <t>■ 종합 판정</t>
        </is>
      </c>
    </row>
    <row r="21">
      <c r="A21" s="4" t="inlineStr">
        <is>
          <t>전 77건 통과 (통과율 100%). 1차 실행에서 3건이 실패하여 원인을 규명한 뒤 2건은 테스트 방법을 수정하고 1건은 제약사항으로 기록했다. 상세는 ⑤결함·제약 시트 참조. 권한 경계(로그인 없이 조회 차단·타인 신청 취소 차단·토큰 없이 원문 비공개), 예약 채널 가드(외부예약·미확인 공간 차단), 편집 권한(무인증 401·화이트리스트 밖 필드 거절) 등 '막혀야 정상인' 케이스를 전체의 36%(28건)로 편성하여, 동작 확인뿐 아니라 차단 확인까지 마쳤다.</t>
        </is>
      </c>
    </row>
    <row r="22"/>
    <row r="23"/>
    <row r="24"/>
    <row r="26">
      <c r="A26" s="5" t="inlineStr">
        <is>
          <t>■ 테스트 재실행 방법</t>
        </is>
      </c>
    </row>
    <row r="27">
      <c r="A27" s="14" t="inlineStr">
        <is>
          <t>node scripts/qa-suite.mjs https://modi-hub-ai.vercel.app   → qa-results.json 생성</t>
        </is>
      </c>
    </row>
    <row r="28">
      <c r="A28" s="14" t="inlineStr">
        <is>
          <t>python3 scripts/build-qa-report.py                          → 본 보고서 재생성</t>
        </is>
      </c>
    </row>
  </sheetData>
  <mergeCells count="11">
    <mergeCell ref="B4:F4"/>
    <mergeCell ref="A2:F2"/>
    <mergeCell ref="A21:F24"/>
    <mergeCell ref="B7:F7"/>
    <mergeCell ref="A28:F28"/>
    <mergeCell ref="B6:F6"/>
    <mergeCell ref="A1:F1"/>
    <mergeCell ref="B5:F5"/>
    <mergeCell ref="A27:F27"/>
    <mergeCell ref="B8:F8"/>
    <mergeCell ref="B9:F9"/>
  </mergeCells>
  <printOptions horizontalCentered="0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4" customWidth="1" min="4" max="4"/>
    <col width="14" customWidth="1" min="5" max="5"/>
    <col width="40" customWidth="1" min="6" max="6"/>
    <col width="40" customWidth="1" min="7" max="7"/>
  </cols>
  <sheetData>
    <row r="1" ht="26" customHeight="1">
      <c r="A1" s="1" t="inlineStr">
        <is>
          <t>사용자 유형 (페르소나) 정의</t>
        </is>
      </c>
    </row>
    <row r="2">
      <c r="A2" s="2" t="inlineStr">
        <is>
          <t>권한 5종을 실제 사람으로 구체화했다. 테스트 케이스는 모두 이 인물 중 하나에 배정된다.</t>
        </is>
      </c>
    </row>
    <row r="4" ht="26" customHeight="1">
      <c r="A4" s="6" t="inlineStr">
        <is>
          <t>코드</t>
        </is>
      </c>
      <c r="B4" s="6" t="inlineStr">
        <is>
          <t>페르소나</t>
        </is>
      </c>
      <c r="C4" s="6" t="inlineStr">
        <is>
          <t>권한</t>
        </is>
      </c>
      <c r="D4" s="6" t="inlineStr">
        <is>
          <t>인증 수단</t>
        </is>
      </c>
      <c r="E4" s="6" t="inlineStr">
        <is>
          <t>시작 화면</t>
        </is>
      </c>
      <c r="F4" s="6" t="inlineStr">
        <is>
          <t>이 사람이 하려는 일</t>
        </is>
      </c>
      <c r="G4" s="6" t="inlineStr">
        <is>
          <t>테스트 시 주안점</t>
        </is>
      </c>
    </row>
    <row r="5" ht="44" customHeight="1">
      <c r="A5" s="15" t="inlineStr">
        <is>
          <t>P1</t>
        </is>
      </c>
      <c r="B5" s="16" t="inlineStr">
        <is>
          <t>김명자 (68·주민)</t>
        </is>
      </c>
      <c r="C5" s="15" t="inlineStr">
        <is>
          <t>G 게스트</t>
        </is>
      </c>
      <c r="D5" s="15" t="inlineStr">
        <is>
          <t>없음 — 허들 0</t>
        </is>
      </c>
      <c r="E5" s="15" t="inlineStr">
        <is>
          <t>/</t>
        </is>
      </c>
      <c r="F5" s="15" t="inlineStr">
        <is>
          <t>마을 부녀회 김장할 곳을 대신 알아본다. 스마트폰 글씨가 작아 검색을 여러 번 못 친다.</t>
        </is>
      </c>
      <c r="G5" s="15" t="inlineStr">
        <is>
          <t>한 번의 자연어 질의로 답이 나오는가. 없으면 없다고 하는가.</t>
        </is>
      </c>
    </row>
    <row r="6" ht="44" customHeight="1">
      <c r="A6" s="17" t="inlineStr">
        <is>
          <t>P2</t>
        </is>
      </c>
      <c r="B6" s="18" t="inlineStr">
        <is>
          <t>이수진 (34·워킹맘)</t>
        </is>
      </c>
      <c r="C6" s="17" t="inlineStr">
        <is>
          <t>G→U 신청자</t>
        </is>
      </c>
      <c r="D6" s="17" t="inlineStr">
        <is>
          <t>Supabase Auth (이메일)</t>
        </is>
      </c>
      <c r="E6" s="17" t="inlineStr">
        <is>
          <t>/reservations</t>
        </is>
      </c>
      <c r="F6" s="17" t="inlineStr">
        <is>
          <t>아이 독서모임 공간을 예약하고, 개관 전 숙소는 알림을 걸어둔다.</t>
        </is>
      </c>
      <c r="G6" s="17" t="inlineStr">
        <is>
          <t>신청→조회→취소가 본인 것만 되는가. 자동 확정되지 않는가.</t>
        </is>
      </c>
    </row>
    <row r="7" ht="44" customHeight="1">
      <c r="A7" s="15" t="inlineStr">
        <is>
          <t>P3</t>
        </is>
      </c>
      <c r="B7" s="16" t="inlineStr">
        <is>
          <t>박준호 (29·모바일)</t>
        </is>
      </c>
      <c r="C7" s="15" t="inlineStr">
        <is>
          <t>G 게스트</t>
        </is>
      </c>
      <c r="D7" s="15" t="inlineStr">
        <is>
          <t>없음</t>
        </is>
      </c>
      <c r="E7" s="15" t="inlineStr">
        <is>
          <t>/search</t>
        </is>
      </c>
      <c r="F7" s="15" t="inlineStr">
        <is>
          <t>퇴근 후 노트북 켜고 작업할 조용한 곳을 찾는다. 오타를 자주 낸다.</t>
        </is>
      </c>
      <c r="G7" s="15" t="inlineStr">
        <is>
          <t>오타·구어체에도 찾아주는가. AI 호출 없이 처리되는가.</t>
        </is>
      </c>
    </row>
    <row r="8" ht="44" customHeight="1">
      <c r="A8" s="17" t="inlineStr">
        <is>
          <t>P4</t>
        </is>
      </c>
      <c r="B8" s="18" t="inlineStr">
        <is>
          <t>최영수 (45·공무원)</t>
        </is>
      </c>
      <c r="C8" s="17" t="inlineStr">
        <is>
          <t>O 공무원</t>
        </is>
      </c>
      <c r="D8" s="17" t="inlineStr">
        <is>
          <t>없음 (내부 URL)</t>
        </is>
      </c>
      <c r="E8" s="17" t="inlineStr">
        <is>
          <t>/filter</t>
        </is>
      </c>
      <c r="F8" s="17" t="inlineStr">
        <is>
          <t>부서 행사 장소를 조건(인원·날짜)으로 추린다. AI 추천보다 목록을 신뢰한다.</t>
        </is>
      </c>
      <c r="G8" s="17" t="inlineStr">
        <is>
          <t>조건 조회가 전체 공간을 담는가. AI 미사용을 명시하는가.</t>
        </is>
      </c>
    </row>
    <row r="9" ht="44" customHeight="1">
      <c r="A9" s="15" t="inlineStr">
        <is>
          <t>P5</t>
        </is>
      </c>
      <c r="B9" s="16" t="inlineStr">
        <is>
          <t>조율 (도시재생팀 담당자)</t>
        </is>
      </c>
      <c r="C9" s="15" t="inlineStr">
        <is>
          <t>A 담당자</t>
        </is>
      </c>
      <c r="D9" s="15" t="inlineStr">
        <is>
          <t>ADMIN_TOKEN</t>
        </is>
      </c>
      <c r="E9" s="15" t="inlineStr">
        <is>
          <t>/admin</t>
        </is>
      </c>
      <c r="F9" s="15" t="inlineStr">
        <is>
          <t>주민이 무엇을 찾다 못 찾았는지 보고 다음 사업에 반영한다.</t>
        </is>
      </c>
      <c r="G9" s="15" t="inlineStr">
        <is>
          <t>미충족이 유형별로 묶이는가. 원문은 토큰 있을 때만 열리는가.</t>
        </is>
      </c>
    </row>
    <row r="10" ht="44" customHeight="1">
      <c r="A10" s="17" t="inlineStr">
        <is>
          <t>P6</t>
        </is>
      </c>
      <c r="B10" s="18" t="inlineStr">
        <is>
          <t>시스템 (배치·보안)</t>
        </is>
      </c>
      <c r="C10" s="17" t="inlineStr">
        <is>
          <t>S 시스템</t>
        </is>
      </c>
      <c r="D10" s="17" t="inlineStr">
        <is>
          <t>service_role (서버 전용)</t>
        </is>
      </c>
      <c r="E10" s="17" t="inlineStr">
        <is>
          <t>-</t>
        </is>
      </c>
      <c r="F10" s="17" t="inlineStr">
        <is>
          <t>임베딩 색인, 개인정보 마스킹, RLS 강제, 요청 폭주 차단.</t>
        </is>
      </c>
      <c r="G10" s="17" t="inlineStr">
        <is>
          <t>키가 브라우저로 새지 않는가. 공개키로 로그를 못 읽는가.</t>
        </is>
      </c>
    </row>
    <row r="11" ht="44" customHeight="1">
      <c r="A11" s="15" t="inlineStr">
        <is>
          <t>—</t>
        </is>
      </c>
      <c r="B11" s="16" t="inlineStr">
        <is>
          <t>미인증 외부인 / 제3자 계정</t>
        </is>
      </c>
      <c r="C11" s="15" t="inlineStr">
        <is>
          <t>(공격 관점)</t>
        </is>
      </c>
      <c r="D11" s="15" t="inlineStr">
        <is>
          <t>없음 · 타인 토큰</t>
        </is>
      </c>
      <c r="E11" s="15" t="inlineStr">
        <is>
          <t>-</t>
        </is>
      </c>
      <c r="F11" s="15" t="inlineStr">
        <is>
          <t>권한 없이 남의 데이터를 보거나 지우려 시도한다.</t>
        </is>
      </c>
      <c r="G11" s="15" t="inlineStr">
        <is>
          <t>차단되는가. '막혀야 정상인' 케이스가 전체의 36%.</t>
        </is>
      </c>
    </row>
  </sheetData>
  <mergeCells count="2">
    <mergeCell ref="A2:G2"/>
    <mergeCell ref="A1:G1"/>
  </mergeCells>
  <printOptions horizontalCentered="0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20" customWidth="1" min="4" max="4"/>
    <col width="14" customWidth="1" min="5" max="5"/>
    <col width="10" customWidth="1" min="6" max="6"/>
    <col width="38" customWidth="1" min="7" max="7"/>
    <col width="26" customWidth="1" min="8" max="8"/>
    <col width="26" customWidth="1" min="9" max="9"/>
    <col width="30" customWidth="1" min="10" max="10"/>
    <col width="34" customWidth="1" min="11" max="11"/>
    <col width="8" customWidth="1" min="12" max="12"/>
  </cols>
  <sheetData>
    <row r="1" ht="26" customHeight="1">
      <c r="A1" s="1" t="inlineStr">
        <is>
          <t>QA 체크시트 · 테스트 케이스 47건</t>
        </is>
      </c>
    </row>
    <row r="2">
      <c r="A2" s="2" t="inlineStr">
        <is>
          <t>기대결과를 먼저 정의하고 실제 관측값을 받아 비교했다. '실제 결과'는 실행 시점의 원값이다.</t>
        </is>
      </c>
    </row>
    <row r="4" ht="26" customHeight="1">
      <c r="A4" s="6" t="inlineStr">
        <is>
          <t>No</t>
        </is>
      </c>
      <c r="B4" s="6" t="inlineStr">
        <is>
          <t>TC-ID</t>
        </is>
      </c>
      <c r="C4" s="6" t="inlineStr">
        <is>
          <t>권한</t>
        </is>
      </c>
      <c r="D4" s="6" t="inlineStr">
        <is>
          <t>페르소나</t>
        </is>
      </c>
      <c r="E4" s="6" t="inlineStr">
        <is>
          <t>기능 ID</t>
        </is>
      </c>
      <c r="F4" s="6" t="inlineStr">
        <is>
          <t>영역</t>
        </is>
      </c>
      <c r="G4" s="6" t="inlineStr">
        <is>
          <t>테스트 항목</t>
        </is>
      </c>
      <c r="H4" s="6" t="inlineStr">
        <is>
          <t>사전 조건</t>
        </is>
      </c>
      <c r="I4" s="6" t="inlineStr">
        <is>
          <t>입력값</t>
        </is>
      </c>
      <c r="J4" s="6" t="inlineStr">
        <is>
          <t>기대 결과</t>
        </is>
      </c>
      <c r="K4" s="6" t="inlineStr">
        <is>
          <t>실제 결과</t>
        </is>
      </c>
      <c r="L4" s="6" t="inlineStr">
        <is>
          <t>판정</t>
        </is>
      </c>
    </row>
    <row r="5" ht="42" customHeight="1">
      <c r="A5" s="19" t="n">
        <v>1</v>
      </c>
      <c r="B5" s="19" t="inlineStr">
        <is>
          <t>TC-001</t>
        </is>
      </c>
      <c r="C5" s="19" t="inlineStr">
        <is>
          <t>G 게스트</t>
        </is>
      </c>
      <c r="D5" s="15" t="inlineStr">
        <is>
          <t>P1 김명자(68·주민)</t>
        </is>
      </c>
      <c r="E5" s="15" t="inlineStr">
        <is>
          <t>SR-01·SR-02</t>
        </is>
      </c>
      <c r="F5" s="15" t="inlineStr">
        <is>
          <t>검색</t>
        </is>
      </c>
      <c r="G5" s="16" t="inlineStr">
        <is>
          <t>자연어 한 문장으로 공간을 찾는다</t>
        </is>
      </c>
      <c r="H5" s="15" t="inlineStr">
        <is>
          <t>로그인 없음</t>
        </is>
      </c>
      <c r="I5" s="15" t="inlineStr">
        <is>
          <t>"부녀회 8명이 김장할 만한 곳"</t>
        </is>
      </c>
      <c r="J5" s="15" t="inlineStr">
        <is>
          <t>200 · 결과 1건 이상 · 키친 계열 포함</t>
        </is>
      </c>
      <c r="K5" s="15" t="inlineStr">
        <is>
          <t>200 · GL3,HO2 · 871ms</t>
        </is>
      </c>
      <c r="L5" s="20" t="inlineStr">
        <is>
          <t>PASS</t>
        </is>
      </c>
    </row>
    <row r="6" ht="42" customHeight="1">
      <c r="A6" s="21" t="n">
        <v>2</v>
      </c>
      <c r="B6" s="21" t="inlineStr">
        <is>
          <t>TC-002</t>
        </is>
      </c>
      <c r="C6" s="21" t="inlineStr">
        <is>
          <t>G 게스트</t>
        </is>
      </c>
      <c r="D6" s="17" t="inlineStr">
        <is>
          <t>P1 김명자(68·주민)</t>
        </is>
      </c>
      <c r="E6" s="17" t="inlineStr">
        <is>
          <t>SR-10</t>
        </is>
      </c>
      <c r="F6" s="17" t="inlineStr">
        <is>
          <t>검색</t>
        </is>
      </c>
      <c r="G6" s="18" t="inlineStr">
        <is>
          <t>①조건필터가 답하면 LLM을 부르지 않는다 (축퇴)</t>
        </is>
      </c>
      <c r="H6" s="17" t="inlineStr">
        <is>
          <t>위와 동일 질의</t>
        </is>
      </c>
      <c r="I6" s="17" t="inlineStr">
        <is>
          <t>동일</t>
        </is>
      </c>
      <c r="J6" s="17" t="inlineStr">
        <is>
          <t>answeredBy=filter · llmCalled=false</t>
        </is>
      </c>
      <c r="K6" s="17" t="inlineStr">
        <is>
          <t>계층=filter · LLM호출=false</t>
        </is>
      </c>
      <c r="L6" s="22" t="inlineStr">
        <is>
          <t>PASS</t>
        </is>
      </c>
    </row>
    <row r="7" ht="42" customHeight="1">
      <c r="A7" s="19" t="n">
        <v>3</v>
      </c>
      <c r="B7" s="19" t="inlineStr">
        <is>
          <t>TC-003</t>
        </is>
      </c>
      <c r="C7" s="19" t="inlineStr">
        <is>
          <t>G 게스트</t>
        </is>
      </c>
      <c r="D7" s="15" t="inlineStr">
        <is>
          <t>P1 김명자(68·주민)</t>
        </is>
      </c>
      <c r="E7" s="15" t="inlineStr">
        <is>
          <t>NF-01</t>
        </is>
      </c>
      <c r="F7" s="15" t="inlineStr">
        <is>
          <t>성능</t>
        </is>
      </c>
      <c r="G7" s="16" t="inlineStr">
        <is>
          <t>검색 응답이 3초 이내에 온다 (웜 기준)</t>
        </is>
      </c>
      <c r="H7" s="15" t="inlineStr">
        <is>
          <t>서버 워밍업 후 — 콜드스타트 제외</t>
        </is>
      </c>
      <c r="I7" s="15" t="inlineStr">
        <is>
          <t>동일</t>
        </is>
      </c>
      <c r="J7" s="15" t="inlineStr">
        <is>
          <t>3,000ms 미만</t>
        </is>
      </c>
      <c r="K7" s="15" t="inlineStr">
        <is>
          <t>871ms (콜드스타트 최초 1회는 3115ms)</t>
        </is>
      </c>
      <c r="L7" s="20" t="inlineStr">
        <is>
          <t>PASS</t>
        </is>
      </c>
    </row>
    <row r="8" ht="42" customHeight="1">
      <c r="A8" s="21" t="n">
        <v>4</v>
      </c>
      <c r="B8" s="21" t="inlineStr">
        <is>
          <t>TC-004</t>
        </is>
      </c>
      <c r="C8" s="21" t="inlineStr">
        <is>
          <t>G 게스트</t>
        </is>
      </c>
      <c r="D8" s="17" t="inlineStr">
        <is>
          <t>P1 김명자(68·주민)</t>
        </is>
      </c>
      <c r="E8" s="17" t="inlineStr">
        <is>
          <t>SR-04</t>
        </is>
      </c>
      <c r="F8" s="17" t="inlineStr">
        <is>
          <t>검색</t>
        </is>
      </c>
      <c r="G8" s="18" t="inlineStr">
        <is>
          <t>인원수가 수용범위에 맞는 공간만 나온다</t>
        </is>
      </c>
      <c r="H8" s="17" t="inlineStr">
        <is>
          <t>모임방 2~6명 / 라운지 정원 미확정</t>
        </is>
      </c>
      <c r="I8" s="17" t="inlineStr">
        <is>
          <t>"회의실 6명"</t>
        </is>
      </c>
      <c r="J8" s="17" t="inlineStr">
        <is>
          <t>GL4M(모임방) 포함</t>
        </is>
      </c>
      <c r="K8" s="17" t="inlineStr">
        <is>
          <t>GL4M,HO3</t>
        </is>
      </c>
      <c r="L8" s="22" t="inlineStr">
        <is>
          <t>PASS</t>
        </is>
      </c>
    </row>
    <row r="9" ht="42" customHeight="1">
      <c r="A9" s="19" t="n">
        <v>5</v>
      </c>
      <c r="B9" s="19" t="inlineStr">
        <is>
          <t>TC-005</t>
        </is>
      </c>
      <c r="C9" s="19" t="inlineStr">
        <is>
          <t>G 게스트</t>
        </is>
      </c>
      <c r="D9" s="15" t="inlineStr">
        <is>
          <t>P4 최영수(45·공무원)</t>
        </is>
      </c>
      <c r="E9" s="15" t="inlineStr">
        <is>
          <t>SR-04</t>
        </is>
      </c>
      <c r="F9" s="15" t="inlineStr">
        <is>
          <t>검색</t>
        </is>
      </c>
      <c r="G9" s="16" t="inlineStr">
        <is>
          <t>수용인원을 넘는 공간은 추천하지 않는다</t>
        </is>
      </c>
      <c r="H9" s="15" t="inlineStr">
        <is>
          <t>모임방 최대 6명</t>
        </is>
      </c>
      <c r="I9" s="15" t="inlineStr">
        <is>
          <t>"30명 들어가는 회의실"</t>
        </is>
      </c>
      <c r="J9" s="15" t="inlineStr">
        <is>
          <t>GL4M 미포함 (수용 초과)</t>
        </is>
      </c>
      <c r="K9" s="15" t="inlineStr">
        <is>
          <t>HO1,GL6</t>
        </is>
      </c>
      <c r="L9" s="20" t="inlineStr">
        <is>
          <t>PASS</t>
        </is>
      </c>
    </row>
    <row r="10" ht="42" customHeight="1">
      <c r="A10" s="21" t="n">
        <v>6</v>
      </c>
      <c r="B10" s="21" t="inlineStr">
        <is>
          <t>TC-006</t>
        </is>
      </c>
      <c r="C10" s="21" t="inlineStr">
        <is>
          <t>G 게스트</t>
        </is>
      </c>
      <c r="D10" s="17" t="inlineStr">
        <is>
          <t>P3 박준호(29·모바일)</t>
        </is>
      </c>
      <c r="E10" s="17" t="inlineStr">
        <is>
          <t>SR-12</t>
        </is>
      </c>
      <c r="F10" s="17" t="inlineStr">
        <is>
          <t>검색</t>
        </is>
      </c>
      <c r="G10" s="18" t="inlineStr">
        <is>
          <t>오타를 쳐도 같은 공간을 찾아준다 (②퍼지·한글 자모)</t>
        </is>
      </c>
      <c r="H10" s="17" t="inlineStr">
        <is>
          <t>정타 결과와 비교</t>
        </is>
      </c>
      <c r="I10" s="17" t="inlineStr">
        <is>
          <t>정타 "봉화의 작업실" / 오타 "봉하의 자겁실"</t>
        </is>
      </c>
      <c r="J10" s="17" t="inlineStr">
        <is>
          <t>오타 질의도 결과 1건 이상 · LLM 호출 없이</t>
        </is>
      </c>
      <c r="K10" s="17" t="inlineStr">
        <is>
          <t>정타=GL4 / 오타=GL4 계층=fuzzy LLM=false</t>
        </is>
      </c>
      <c r="L10" s="22" t="inlineStr">
        <is>
          <t>PASS</t>
        </is>
      </c>
    </row>
    <row r="11" ht="42" customHeight="1">
      <c r="A11" s="19" t="n">
        <v>7</v>
      </c>
      <c r="B11" s="19" t="inlineStr">
        <is>
          <t>TC-007</t>
        </is>
      </c>
      <c r="C11" s="19" t="inlineStr">
        <is>
          <t>G 게스트</t>
        </is>
      </c>
      <c r="D11" s="15" t="inlineStr">
        <is>
          <t>P3 박준호(29·모바일)</t>
        </is>
      </c>
      <c r="E11" s="15" t="inlineStr">
        <is>
          <t>SR-03</t>
        </is>
      </c>
      <c r="F11" s="15" t="inlineStr">
        <is>
          <t>검색</t>
        </is>
      </c>
      <c r="G11" s="16" t="inlineStr">
        <is>
          <t>키워드가 안 겹쳐도 의미로 찾는다 (③임베딩)</t>
        </is>
      </c>
      <c r="H11" s="15" t="inlineStr">
        <is>
          <t>"노트북"은 있으나 "조용히 일할"은 사전에 없음</t>
        </is>
      </c>
      <c r="I11" s="15" t="inlineStr">
        <is>
          <t>"조용히 노트북 들고 일할 만한 데"</t>
        </is>
      </c>
      <c r="J11" s="15" t="inlineStr">
        <is>
          <t>작업실(GL4) 포함</t>
        </is>
      </c>
      <c r="K11" s="15" t="inlineStr">
        <is>
          <t>GL4 · 계층=filter</t>
        </is>
      </c>
      <c r="L11" s="20" t="inlineStr">
        <is>
          <t>PASS</t>
        </is>
      </c>
    </row>
    <row r="12" ht="42" customHeight="1">
      <c r="A12" s="21" t="n">
        <v>8</v>
      </c>
      <c r="B12" s="21" t="inlineStr">
        <is>
          <t>TC-008</t>
        </is>
      </c>
      <c r="C12" s="21" t="inlineStr">
        <is>
          <t>G 게스트</t>
        </is>
      </c>
      <c r="D12" s="17" t="inlineStr">
        <is>
          <t>P1 김명자(68·주민)</t>
        </is>
      </c>
      <c r="E12" s="17" t="inlineStr">
        <is>
          <t>SR-05·UD-01</t>
        </is>
      </c>
      <c r="F12" s="17" t="inlineStr">
        <is>
          <t>미충족</t>
        </is>
      </c>
      <c r="G12" s="18" t="inlineStr">
        <is>
          <t>없는 것은 없다고 답한다 (지어내지 않음)</t>
        </is>
      </c>
      <c r="H12" s="17" t="inlineStr">
        <is>
          <t>봉화 거점시설에 수영장 없음</t>
        </is>
      </c>
      <c r="I12" s="17" t="inlineStr">
        <is>
          <t>"수영장 빌릴 수 있나요"</t>
        </is>
      </c>
      <c r="J12" s="17" t="inlineStr">
        <is>
          <t>결과 0건 · 미충족으로 기록</t>
        </is>
      </c>
      <c r="K12" s="17" t="inlineStr">
        <is>
          <t>결과=0건 · 유형="분류 미상"</t>
        </is>
      </c>
      <c r="L12" s="22" t="inlineStr">
        <is>
          <t>PASS</t>
        </is>
      </c>
    </row>
    <row r="13" ht="42" customHeight="1">
      <c r="A13" s="19" t="n">
        <v>9</v>
      </c>
      <c r="B13" s="19" t="inlineStr">
        <is>
          <t>TC-009</t>
        </is>
      </c>
      <c r="C13" s="19" t="inlineStr">
        <is>
          <t>G 게스트</t>
        </is>
      </c>
      <c r="D13" s="15" t="inlineStr">
        <is>
          <t>P4 최영수(45·공무원)</t>
        </is>
      </c>
      <c r="E13" s="15" t="inlineStr">
        <is>
          <t>SR-11</t>
        </is>
      </c>
      <c r="F13" s="15" t="inlineStr">
        <is>
          <t>검색</t>
        </is>
      </c>
      <c r="G13" s="16" t="inlineStr">
        <is>
          <t>보유하지 않은 지역은 정직하게 안내한다</t>
        </is>
      </c>
      <c r="H13" s="15" t="inlineStr">
        <is>
          <t>봉화 데이터만 보유</t>
        </is>
      </c>
      <c r="I13" s="15" t="inlineStr">
        <is>
          <t>"영주에 20명 들어가는 회의실"</t>
        </is>
      </c>
      <c r="J13" s="15" t="inlineStr">
        <is>
          <t>결과 0건 + 안내문구 + LLM 0회</t>
        </is>
      </c>
      <c r="K13" s="15" t="inlineStr">
        <is>
          <t>안내="지금은 봉화군 공간만 등록돼 있습니다. 영주 지역을 찾으신 기록은 남겨두" LLM=false</t>
        </is>
      </c>
      <c r="L13" s="20" t="inlineStr">
        <is>
          <t>PASS</t>
        </is>
      </c>
    </row>
    <row r="14" ht="42" customHeight="1">
      <c r="A14" s="21" t="n">
        <v>10</v>
      </c>
      <c r="B14" s="21" t="inlineStr">
        <is>
          <t>TC-010</t>
        </is>
      </c>
      <c r="C14" s="21" t="inlineStr">
        <is>
          <t>G 게스트</t>
        </is>
      </c>
      <c r="D14" s="17" t="inlineStr">
        <is>
          <t>P3 박준호(29·모바일)</t>
        </is>
      </c>
      <c r="E14" s="17" t="inlineStr">
        <is>
          <t>SR-09</t>
        </is>
      </c>
      <c r="F14" s="17" t="inlineStr">
        <is>
          <t>입력검증</t>
        </is>
      </c>
      <c r="G14" s="18" t="inlineStr">
        <is>
          <t>빈 검색어는 서버가 거절한다</t>
        </is>
      </c>
      <c r="H14" s="17" t="inlineStr">
        <is>
          <t>없음</t>
        </is>
      </c>
      <c r="I14" s="17" t="inlineStr">
        <is>
          <t>빈 문자열</t>
        </is>
      </c>
      <c r="J14" s="17" t="inlineStr">
        <is>
          <t>400 (500 서버오류가 아님)</t>
        </is>
      </c>
      <c r="K14" s="17" t="inlineStr">
        <is>
          <t>HTTP 400</t>
        </is>
      </c>
      <c r="L14" s="22" t="inlineStr">
        <is>
          <t>PASS</t>
        </is>
      </c>
    </row>
    <row r="15" ht="42" customHeight="1">
      <c r="A15" s="19" t="n">
        <v>11</v>
      </c>
      <c r="B15" s="19" t="inlineStr">
        <is>
          <t>TC-011</t>
        </is>
      </c>
      <c r="C15" s="19" t="inlineStr">
        <is>
          <t>G 게스트</t>
        </is>
      </c>
      <c r="D15" s="15" t="inlineStr">
        <is>
          <t>P2 이수진(34·워킹맘)</t>
        </is>
      </c>
      <c r="E15" s="15" t="inlineStr">
        <is>
          <t>UD-08</t>
        </is>
      </c>
      <c r="F15" s="15" t="inlineStr">
        <is>
          <t>개관알림</t>
        </is>
      </c>
      <c r="G15" s="16" t="inlineStr">
        <is>
          <t>운영 중인 공간은 개관알림 대상이 아니다</t>
        </is>
      </c>
      <c r="H15" s="15" t="inlineStr">
        <is>
          <t>전 공간 운영 중(live) — 개관 예정 공간 없음</t>
        </is>
      </c>
      <c r="I15" s="15" t="inlineStr">
        <is>
          <t>spaceId=GL7</t>
        </is>
      </c>
      <c r="J15" s="15" t="inlineStr">
        <is>
          <t>409 거절</t>
        </is>
      </c>
      <c r="K15" s="15" t="inlineStr">
        <is>
          <t>HTTP 409</t>
        </is>
      </c>
      <c r="L15" s="20" t="inlineStr">
        <is>
          <t>PASS</t>
        </is>
      </c>
    </row>
    <row r="16" ht="42" customHeight="1">
      <c r="A16" s="21" t="n">
        <v>12</v>
      </c>
      <c r="B16" s="21" t="inlineStr">
        <is>
          <t>TC-012</t>
        </is>
      </c>
      <c r="C16" s="21" t="inlineStr">
        <is>
          <t>G 게스트</t>
        </is>
      </c>
      <c r="D16" s="17" t="inlineStr">
        <is>
          <t>P2 이수진(34·워킹맘)</t>
        </is>
      </c>
      <c r="E16" s="17" t="inlineStr">
        <is>
          <t>UD-08</t>
        </is>
      </c>
      <c r="F16" s="17" t="inlineStr">
        <is>
          <t>개관알림</t>
        </is>
      </c>
      <c r="G16" s="18" t="inlineStr">
        <is>
          <t>이미 운영 중인 공간은 개관알림을 받지 않는다</t>
        </is>
      </c>
      <c r="H16" s="17" t="inlineStr">
        <is>
          <t>GL4M = self/live</t>
        </is>
      </c>
      <c r="I16" s="17" t="inlineStr">
        <is>
          <t>spaceId=GL4M</t>
        </is>
      </c>
      <c r="J16" s="17" t="inlineStr">
        <is>
          <t>409 거절</t>
        </is>
      </c>
      <c r="K16" s="17" t="inlineStr">
        <is>
          <t>HTTP 409</t>
        </is>
      </c>
      <c r="L16" s="22" t="inlineStr">
        <is>
          <t>PASS</t>
        </is>
      </c>
    </row>
    <row r="17" ht="42" customHeight="1">
      <c r="A17" s="19" t="n">
        <v>13</v>
      </c>
      <c r="B17" s="19" t="inlineStr">
        <is>
          <t>TC-013</t>
        </is>
      </c>
      <c r="C17" s="19" t="inlineStr">
        <is>
          <t>G 게스트</t>
        </is>
      </c>
      <c r="D17" s="15" t="inlineStr">
        <is>
          <t>P1 김명자(68·주민)</t>
        </is>
      </c>
      <c r="E17" s="15" t="inlineStr">
        <is>
          <t>UD-02·UD-03</t>
        </is>
      </c>
      <c r="F17" s="15" t="inlineStr">
        <is>
          <t>미충족</t>
        </is>
      </c>
      <c r="G17" s="16" t="inlineStr">
        <is>
          <t>동의한 사람만 수요로 등록된다</t>
        </is>
      </c>
      <c r="H17" s="15" t="inlineStr">
        <is>
          <t>0건 결과 화면에서 동의 후 제출</t>
        </is>
      </c>
      <c r="I17" s="15" t="inlineStr">
        <is>
          <t>미충족 유형 + 연락처</t>
        </is>
      </c>
      <c r="J17" s="15" t="inlineStr">
        <is>
          <t>200 등록</t>
        </is>
      </c>
      <c r="K17" s="15" t="inlineStr">
        <is>
          <t>HTTP 200</t>
        </is>
      </c>
      <c r="L17" s="20" t="inlineStr">
        <is>
          <t>PASS</t>
        </is>
      </c>
    </row>
    <row r="18" ht="42" customHeight="1">
      <c r="A18" s="21" t="n">
        <v>14</v>
      </c>
      <c r="B18" s="21" t="inlineStr">
        <is>
          <t>TC-014</t>
        </is>
      </c>
      <c r="C18" s="21" t="inlineStr">
        <is>
          <t>G 게스트</t>
        </is>
      </c>
      <c r="D18" s="17" t="inlineStr">
        <is>
          <t>P3 박준호(29·모바일)</t>
        </is>
      </c>
      <c r="E18" s="17" t="inlineStr">
        <is>
          <t>UD-05</t>
        </is>
      </c>
      <c r="F18" s="17" t="inlineStr">
        <is>
          <t>피드백</t>
        </is>
      </c>
      <c r="G18" s="18" t="inlineStr">
        <is>
          <t>추천을 받고도 안 쓴 이유를 남길 수 있다</t>
        </is>
      </c>
      <c r="H18" s="17" t="inlineStr">
        <is>
          <t>추천 결과 화면</t>
        </is>
      </c>
      <c r="I18" s="17" t="inlineStr">
        <is>
          <t>reason=time(시간이 안 맞음)</t>
        </is>
      </c>
      <c r="J18" s="17" t="inlineStr">
        <is>
          <t>200 접수</t>
        </is>
      </c>
      <c r="K18" s="17" t="inlineStr">
        <is>
          <t>HTTP 200</t>
        </is>
      </c>
      <c r="L18" s="22" t="inlineStr">
        <is>
          <t>PASS</t>
        </is>
      </c>
    </row>
    <row r="19" ht="42" customHeight="1">
      <c r="A19" s="19" t="n">
        <v>15</v>
      </c>
      <c r="B19" s="19" t="inlineStr">
        <is>
          <t>TC-015</t>
        </is>
      </c>
      <c r="C19" s="19" t="inlineStr">
        <is>
          <t>G 게스트</t>
        </is>
      </c>
      <c r="D19" s="15" t="inlineStr">
        <is>
          <t>미인증 외부인</t>
        </is>
      </c>
      <c r="E19" s="15" t="inlineStr">
        <is>
          <t>LG-06</t>
        </is>
      </c>
      <c r="F19" s="15" t="inlineStr">
        <is>
          <t>보안</t>
        </is>
      </c>
      <c r="G19" s="16" t="inlineStr">
        <is>
          <t>토큰 없이는 검색 원문을 볼 수 없다</t>
        </is>
      </c>
      <c r="H19" s="15" t="inlineStr">
        <is>
          <t>헤더 없음</t>
        </is>
      </c>
      <c r="I19" s="15" t="inlineStr">
        <is>
          <t>GET /api/stats</t>
        </is>
      </c>
      <c r="J19" s="15" t="inlineStr">
        <is>
          <t>detailAuthorized=false · 원문 [비공개]</t>
        </is>
      </c>
      <c r="K19" s="15" t="inlineStr">
        <is>
          <t>열람권한=false · 첫 원문="[비공개]"</t>
        </is>
      </c>
      <c r="L19" s="20" t="inlineStr">
        <is>
          <t>PASS</t>
        </is>
      </c>
    </row>
    <row r="20" ht="42" customHeight="1">
      <c r="A20" s="21" t="n">
        <v>16</v>
      </c>
      <c r="B20" s="21" t="inlineStr">
        <is>
          <t>TC-016</t>
        </is>
      </c>
      <c r="C20" s="21" t="inlineStr">
        <is>
          <t>U 신청자</t>
        </is>
      </c>
      <c r="D20" s="17" t="inlineStr">
        <is>
          <t>P2 이수진(34·워킹맘)</t>
        </is>
      </c>
      <c r="E20" s="17" t="inlineStr">
        <is>
          <t>AU-01</t>
        </is>
      </c>
      <c r="F20" s="17" t="inlineStr">
        <is>
          <t>인증</t>
        </is>
      </c>
      <c r="G20" s="18" t="inlineStr">
        <is>
          <t>주민이 스스로 계정을 만든다 (확인 메일 없이 바로 사용)</t>
        </is>
      </c>
      <c r="H20" s="17" t="inlineStr">
        <is>
          <t>로그인 없음</t>
        </is>
      </c>
      <c r="I20" s="17" t="inlineStr">
        <is>
          <t>qa-1786589505598@test.modi</t>
        </is>
      </c>
      <c r="J20" s="17" t="inlineStr">
        <is>
          <t>200 · 곧바로 로그인 가능한 상태</t>
        </is>
      </c>
      <c r="K20" s="17" t="inlineStr">
        <is>
          <t>HTTP 200 qa-1786589505598@test.modi</t>
        </is>
      </c>
      <c r="L20" s="22" t="inlineStr">
        <is>
          <t>PASS</t>
        </is>
      </c>
    </row>
    <row r="21" ht="42" customHeight="1">
      <c r="A21" s="19" t="n">
        <v>17</v>
      </c>
      <c r="B21" s="19" t="inlineStr">
        <is>
          <t>TC-017</t>
        </is>
      </c>
      <c r="C21" s="19" t="inlineStr">
        <is>
          <t>U 신청자</t>
        </is>
      </c>
      <c r="D21" s="15" t="inlineStr">
        <is>
          <t>P2 이수진(34·워킹맘)</t>
        </is>
      </c>
      <c r="E21" s="15" t="inlineStr">
        <is>
          <t>AU-01</t>
        </is>
      </c>
      <c r="F21" s="15" t="inlineStr">
        <is>
          <t>입력검증</t>
        </is>
      </c>
      <c r="G21" s="16" t="inlineStr">
        <is>
          <t>같은 이메일로 두 번 가입되지 않는다</t>
        </is>
      </c>
      <c r="H21" s="15" t="inlineStr">
        <is>
          <t>이미 가입됨</t>
        </is>
      </c>
      <c r="I21" s="15" t="inlineStr">
        <is>
          <t>동일 이메일</t>
        </is>
      </c>
      <c r="J21" s="15" t="inlineStr">
        <is>
          <t>409 + 로그인 안내</t>
        </is>
      </c>
      <c r="K21" s="15" t="inlineStr">
        <is>
          <t>HTTP 409 · 이미 가입된 이메일입니다. 로그인해 주세요.</t>
        </is>
      </c>
      <c r="L21" s="20" t="inlineStr">
        <is>
          <t>PASS</t>
        </is>
      </c>
    </row>
    <row r="22" ht="42" customHeight="1">
      <c r="A22" s="21" t="n">
        <v>18</v>
      </c>
      <c r="B22" s="21" t="inlineStr">
        <is>
          <t>TC-018</t>
        </is>
      </c>
      <c r="C22" s="21" t="inlineStr">
        <is>
          <t>U 신청자</t>
        </is>
      </c>
      <c r="D22" s="17" t="inlineStr">
        <is>
          <t>P3 박준호(29·모바일)</t>
        </is>
      </c>
      <c r="E22" s="17" t="inlineStr">
        <is>
          <t>AU-01</t>
        </is>
      </c>
      <c r="F22" s="17" t="inlineStr">
        <is>
          <t>입력검증</t>
        </is>
      </c>
      <c r="G22" s="18" t="inlineStr">
        <is>
          <t>너무 짧은 비밀번호는 거절한다</t>
        </is>
      </c>
      <c r="H22" s="17" t="inlineStr">
        <is>
          <t>없음</t>
        </is>
      </c>
      <c r="I22" s="17" t="inlineStr">
        <is>
          <t>비밀번호 3자</t>
        </is>
      </c>
      <c r="J22" s="17" t="inlineStr">
        <is>
          <t>400 + 기준 안내</t>
        </is>
      </c>
      <c r="K22" s="17" t="inlineStr">
        <is>
          <t>HTTP 400 · 비밀번호는 6자 이상으로 정해 주세요.</t>
        </is>
      </c>
      <c r="L22" s="22" t="inlineStr">
        <is>
          <t>PASS</t>
        </is>
      </c>
    </row>
    <row r="23" ht="42" customHeight="1">
      <c r="A23" s="19" t="n">
        <v>19</v>
      </c>
      <c r="B23" s="19" t="inlineStr">
        <is>
          <t>TC-019</t>
        </is>
      </c>
      <c r="C23" s="19" t="inlineStr">
        <is>
          <t>U 신청자</t>
        </is>
      </c>
      <c r="D23" s="15" t="inlineStr">
        <is>
          <t>P3 박준호(29·모바일)</t>
        </is>
      </c>
      <c r="E23" s="15" t="inlineStr">
        <is>
          <t>AU-01</t>
        </is>
      </c>
      <c r="F23" s="15" t="inlineStr">
        <is>
          <t>입력검증</t>
        </is>
      </c>
      <c r="G23" s="16" t="inlineStr">
        <is>
          <t>이메일 형식이 아니면 거절한다</t>
        </is>
      </c>
      <c r="H23" s="15" t="inlineStr">
        <is>
          <t>없음</t>
        </is>
      </c>
      <c r="I23" s="15" t="inlineStr">
        <is>
          <t>"not-an-email"</t>
        </is>
      </c>
      <c r="J23" s="15" t="inlineStr">
        <is>
          <t>400</t>
        </is>
      </c>
      <c r="K23" s="15" t="inlineStr">
        <is>
          <t>HTTP 400 · 이메일 형식을 확인해 주세요.</t>
        </is>
      </c>
      <c r="L23" s="20" t="inlineStr">
        <is>
          <t>PASS</t>
        </is>
      </c>
    </row>
    <row r="24" ht="42" customHeight="1">
      <c r="A24" s="21" t="n">
        <v>20</v>
      </c>
      <c r="B24" s="21" t="inlineStr">
        <is>
          <t>TC-020</t>
        </is>
      </c>
      <c r="C24" s="21" t="inlineStr">
        <is>
          <t>U 신청자</t>
        </is>
      </c>
      <c r="D24" s="17" t="inlineStr">
        <is>
          <t>P2 이수진(34·워킹맘)</t>
        </is>
      </c>
      <c r="E24" s="17" t="inlineStr">
        <is>
          <t>AU-01</t>
        </is>
      </c>
      <c r="F24" s="17" t="inlineStr">
        <is>
          <t>인증</t>
        </is>
      </c>
      <c r="G24" s="18" t="inlineStr">
        <is>
          <t>로그인하면 세션 토큰을 받는다</t>
        </is>
      </c>
      <c r="H24" s="17" t="inlineStr">
        <is>
          <t>계정 생성됨</t>
        </is>
      </c>
      <c r="I24" s="17" t="inlineStr">
        <is>
          <t>이메일+비밀번호</t>
        </is>
      </c>
      <c r="J24" s="17" t="inlineStr">
        <is>
          <t>access_token 발급</t>
        </is>
      </c>
      <c r="K24" s="17" t="inlineStr">
        <is>
          <t>토큰 발급됨(eyJhbGciOiJF…)</t>
        </is>
      </c>
      <c r="L24" s="22" t="inlineStr">
        <is>
          <t>PASS</t>
        </is>
      </c>
    </row>
    <row r="25" ht="42" customHeight="1">
      <c r="A25" s="19" t="n">
        <v>21</v>
      </c>
      <c r="B25" s="19" t="inlineStr">
        <is>
          <t>TC-021</t>
        </is>
      </c>
      <c r="C25" s="19" t="inlineStr">
        <is>
          <t>U 신청자</t>
        </is>
      </c>
      <c r="D25" s="15" t="inlineStr">
        <is>
          <t>P2 이수진(34·워킹맘)</t>
        </is>
      </c>
      <c r="E25" s="15" t="inlineStr">
        <is>
          <t>AU-02</t>
        </is>
      </c>
      <c r="F25" s="15" t="inlineStr">
        <is>
          <t>인증</t>
        </is>
      </c>
      <c r="G25" s="16" t="inlineStr">
        <is>
          <t>비밀번호가 틀리면 로그인되지 않는다</t>
        </is>
      </c>
      <c r="H25" s="15" t="inlineStr">
        <is>
          <t>계정 존재</t>
        </is>
      </c>
      <c r="I25" s="15" t="inlineStr">
        <is>
          <t>잘못된 비밀번호</t>
        </is>
      </c>
      <c r="J25" s="15" t="inlineStr">
        <is>
          <t>인증 실패</t>
        </is>
      </c>
      <c r="K25" s="15" t="inlineStr">
        <is>
          <t>Invalid login credentials</t>
        </is>
      </c>
      <c r="L25" s="20" t="inlineStr">
        <is>
          <t>PASS</t>
        </is>
      </c>
    </row>
    <row r="26" ht="42" customHeight="1">
      <c r="A26" s="21" t="n">
        <v>22</v>
      </c>
      <c r="B26" s="21" t="inlineStr">
        <is>
          <t>TC-022</t>
        </is>
      </c>
      <c r="C26" s="21" t="inlineStr">
        <is>
          <t>U 신청자</t>
        </is>
      </c>
      <c r="D26" s="17" t="inlineStr">
        <is>
          <t>미인증 외부인</t>
        </is>
      </c>
      <c r="E26" s="17" t="inlineStr">
        <is>
          <t>BK-06</t>
        </is>
      </c>
      <c r="F26" s="17" t="inlineStr">
        <is>
          <t>보안</t>
        </is>
      </c>
      <c r="G26" s="18" t="inlineStr">
        <is>
          <t>로그인 없이 남의 신청 내역을 볼 수 없다</t>
        </is>
      </c>
      <c r="H26" s="17" t="inlineStr">
        <is>
          <t>토큰 없음</t>
        </is>
      </c>
      <c r="I26" s="17" t="inlineStr">
        <is>
          <t>GET /api/reservation</t>
        </is>
      </c>
      <c r="J26" s="17" t="inlineStr">
        <is>
          <t>401</t>
        </is>
      </c>
      <c r="K26" s="17" t="inlineStr">
        <is>
          <t>HTTP 401</t>
        </is>
      </c>
      <c r="L26" s="22" t="inlineStr">
        <is>
          <t>PASS</t>
        </is>
      </c>
    </row>
    <row r="27" ht="42" customHeight="1">
      <c r="A27" s="19" t="n">
        <v>23</v>
      </c>
      <c r="B27" s="19" t="inlineStr">
        <is>
          <t>TC-023</t>
        </is>
      </c>
      <c r="C27" s="19" t="inlineStr">
        <is>
          <t>U 신청자</t>
        </is>
      </c>
      <c r="D27" s="15" t="inlineStr">
        <is>
          <t>P2 이수진(34·워킹맘)</t>
        </is>
      </c>
      <c r="E27" s="15" t="inlineStr">
        <is>
          <t>BK-01</t>
        </is>
      </c>
      <c r="F27" s="15" t="inlineStr">
        <is>
          <t>대관신청</t>
        </is>
      </c>
      <c r="G27" s="16" t="inlineStr">
        <is>
          <t>모임방 대관을 신청한다</t>
        </is>
      </c>
      <c r="H27" s="15" t="inlineStr">
        <is>
          <t>GL4M = self/live · 정원 6명</t>
        </is>
      </c>
      <c r="I27" s="15" t="inlineStr">
        <is>
          <t>9/15 14~16시 · 5명 · 독서모임</t>
        </is>
      </c>
      <c r="J27" s="15" t="inlineStr">
        <is>
          <t>200 접수</t>
        </is>
      </c>
      <c r="K27" s="15" t="inlineStr">
        <is>
          <t>HTTP 200 · REV-260813-1240</t>
        </is>
      </c>
      <c r="L27" s="20" t="inlineStr">
        <is>
          <t>PASS</t>
        </is>
      </c>
    </row>
    <row r="28" ht="42" customHeight="1">
      <c r="A28" s="21" t="n">
        <v>24</v>
      </c>
      <c r="B28" s="21" t="inlineStr">
        <is>
          <t>TC-024</t>
        </is>
      </c>
      <c r="C28" s="21" t="inlineStr">
        <is>
          <t>U 신청자</t>
        </is>
      </c>
      <c r="D28" s="17" t="inlineStr">
        <is>
          <t>P2 이수진(34·워킹맘)</t>
        </is>
      </c>
      <c r="E28" s="17" t="inlineStr">
        <is>
          <t>BK-07</t>
        </is>
      </c>
      <c r="F28" s="17" t="inlineStr">
        <is>
          <t>대관신청</t>
        </is>
      </c>
      <c r="G28" s="18" t="inlineStr">
        <is>
          <t>신청은 자동 확정되지 않는다 (승인대기)</t>
        </is>
      </c>
      <c r="H28" s="17" t="inlineStr">
        <is>
          <t>위 신청</t>
        </is>
      </c>
      <c r="I28" s="17" t="inlineStr">
        <is>
          <t>동일</t>
        </is>
      </c>
      <c r="J28" s="17" t="inlineStr">
        <is>
          <t>status="승인대기" — 확정 경로 없음</t>
        </is>
      </c>
      <c r="K28" s="17" t="inlineStr">
        <is>
          <t>상태="승인대기"</t>
        </is>
      </c>
      <c r="L28" s="22" t="inlineStr">
        <is>
          <t>PASS</t>
        </is>
      </c>
    </row>
    <row r="29" ht="42" customHeight="1">
      <c r="A29" s="19" t="n">
        <v>25</v>
      </c>
      <c r="B29" s="19" t="inlineStr">
        <is>
          <t>TC-025</t>
        </is>
      </c>
      <c r="C29" s="19" t="inlineStr">
        <is>
          <t>U 신청자</t>
        </is>
      </c>
      <c r="D29" s="15" t="inlineStr">
        <is>
          <t>P2 이수진(34·워킹맘)</t>
        </is>
      </c>
      <c r="E29" s="15" t="inlineStr">
        <is>
          <t>BK-03</t>
        </is>
      </c>
      <c r="F29" s="15" t="inlineStr">
        <is>
          <t>대관신청</t>
        </is>
      </c>
      <c r="G29" s="16" t="inlineStr">
        <is>
          <t>정원을 넘는 인원은 접수되지 않는다</t>
        </is>
      </c>
      <c r="H29" s="15" t="inlineStr">
        <is>
          <t>GL4M 최대 6명</t>
        </is>
      </c>
      <c r="I29" s="15" t="inlineStr">
        <is>
          <t>20명</t>
        </is>
      </c>
      <c r="J29" s="15" t="inlineStr">
        <is>
          <t>400 + 최대 인원 안내</t>
        </is>
      </c>
      <c r="K29" s="15" t="inlineStr">
        <is>
          <t>HTTP 400 · 작업실 모임방의 최대 수용 인원은 6명입니다.</t>
        </is>
      </c>
      <c r="L29" s="20" t="inlineStr">
        <is>
          <t>PASS</t>
        </is>
      </c>
    </row>
    <row r="30" ht="42" customHeight="1">
      <c r="A30" s="21" t="n">
        <v>26</v>
      </c>
      <c r="B30" s="21" t="inlineStr">
        <is>
          <t>TC-026</t>
        </is>
      </c>
      <c r="C30" s="21" t="inlineStr">
        <is>
          <t>U 신청자</t>
        </is>
      </c>
      <c r="D30" s="17" t="inlineStr">
        <is>
          <t>P2 이수진(34·워킹맘)</t>
        </is>
      </c>
      <c r="E30" s="17" t="inlineStr">
        <is>
          <t>BK-01</t>
        </is>
      </c>
      <c r="F30" s="17" t="inlineStr">
        <is>
          <t>대관신청</t>
        </is>
      </c>
      <c r="G30" s="18" t="inlineStr">
        <is>
          <t>숙박도 온라인으로 신청된다 (전 공간 개방)</t>
        </is>
      </c>
      <c r="H30" s="17" t="inlineStr">
        <is>
          <t>GL7 = self/live · 60,000원/1박</t>
        </is>
      </c>
      <c r="I30" s="17" t="inlineStr">
        <is>
          <t>12/24 · 2명</t>
        </is>
      </c>
      <c r="J30" s="17" t="inlineStr">
        <is>
          <t>200 · 승인대기</t>
        </is>
      </c>
      <c r="K30" s="17" t="inlineStr">
        <is>
          <t>HTTP 200 · REV-260813-3000</t>
        </is>
      </c>
      <c r="L30" s="22" t="inlineStr">
        <is>
          <t>PASS</t>
        </is>
      </c>
    </row>
    <row r="31" ht="42" customHeight="1">
      <c r="A31" s="19" t="n">
        <v>27</v>
      </c>
      <c r="B31" s="19" t="inlineStr">
        <is>
          <t>TC-027</t>
        </is>
      </c>
      <c r="C31" s="19" t="inlineStr">
        <is>
          <t>U 신청자</t>
        </is>
      </c>
      <c r="D31" s="15" t="inlineStr">
        <is>
          <t>P4 최영수(45·공무원)</t>
        </is>
      </c>
      <c r="E31" s="15" t="inlineStr">
        <is>
          <t>BK-04</t>
        </is>
      </c>
      <c r="F31" s="15" t="inlineStr">
        <is>
          <t>입력검증</t>
        </is>
      </c>
      <c r="G31" s="16" t="inlineStr">
        <is>
          <t>존재하지 않는 공간은 신청되지 않는다</t>
        </is>
      </c>
      <c r="H31" s="15" t="inlineStr">
        <is>
          <t>없음</t>
        </is>
      </c>
      <c r="I31" s="15" t="inlineStr">
        <is>
          <t>spaceId=ZZ99</t>
        </is>
      </c>
      <c r="J31" s="15" t="inlineStr">
        <is>
          <t>400</t>
        </is>
      </c>
      <c r="K31" s="15" t="inlineStr">
        <is>
          <t>HTTP 400 · 존재하지 않는 공간입니다.</t>
        </is>
      </c>
      <c r="L31" s="20" t="inlineStr">
        <is>
          <t>PASS</t>
        </is>
      </c>
    </row>
    <row r="32" ht="42" customHeight="1">
      <c r="A32" s="21" t="n">
        <v>28</v>
      </c>
      <c r="B32" s="21" t="inlineStr">
        <is>
          <t>TC-028</t>
        </is>
      </c>
      <c r="C32" s="21" t="inlineStr">
        <is>
          <t>U 신청자</t>
        </is>
      </c>
      <c r="D32" s="17" t="inlineStr">
        <is>
          <t>P3 박준호(29·모바일)</t>
        </is>
      </c>
      <c r="E32" s="17" t="inlineStr">
        <is>
          <t>BK-01</t>
        </is>
      </c>
      <c r="F32" s="17" t="inlineStr">
        <is>
          <t>대관신청</t>
        </is>
      </c>
      <c r="G32" s="18" t="inlineStr">
        <is>
          <t>작업실 단체 이용도 온라인으로 신청된다</t>
        </is>
      </c>
      <c r="H32" s="17" t="inlineStr">
        <is>
          <t>GL4 = self/live · 단체는 온라인 신청</t>
        </is>
      </c>
      <c r="I32" s="17" t="inlineStr">
        <is>
          <t>12명</t>
        </is>
      </c>
      <c r="J32" s="17" t="inlineStr">
        <is>
          <t>200 · 승인대기</t>
        </is>
      </c>
      <c r="K32" s="17" t="inlineStr">
        <is>
          <t>HTTP 200 · REV-260813-5279</t>
        </is>
      </c>
      <c r="L32" s="22" t="inlineStr">
        <is>
          <t>PASS</t>
        </is>
      </c>
    </row>
    <row r="33" ht="42" customHeight="1">
      <c r="A33" s="19" t="n">
        <v>29</v>
      </c>
      <c r="B33" s="19" t="inlineStr">
        <is>
          <t>TC-029</t>
        </is>
      </c>
      <c r="C33" s="19" t="inlineStr">
        <is>
          <t>U 신청자</t>
        </is>
      </c>
      <c r="D33" s="15" t="inlineStr">
        <is>
          <t>P2 이수진(34·워킹맘)</t>
        </is>
      </c>
      <c r="E33" s="15" t="inlineStr">
        <is>
          <t>BK-02</t>
        </is>
      </c>
      <c r="F33" s="15" t="inlineStr">
        <is>
          <t>입력검증</t>
        </is>
      </c>
      <c r="G33" s="16" t="inlineStr">
        <is>
          <t>이용일을 비우면 접수되지 않는다</t>
        </is>
      </c>
      <c r="H33" s="15" t="inlineStr">
        <is>
          <t>로그인됨</t>
        </is>
      </c>
      <c r="I33" s="15" t="inlineStr">
        <is>
          <t>useDate 누락</t>
        </is>
      </c>
      <c r="J33" s="15" t="inlineStr">
        <is>
          <t>400 + 입력 안내</t>
        </is>
      </c>
      <c r="K33" s="15" t="inlineStr">
        <is>
          <t>HTTP 400 · 이용 희망일을 입력해 주세요.</t>
        </is>
      </c>
      <c r="L33" s="20" t="inlineStr">
        <is>
          <t>PASS</t>
        </is>
      </c>
    </row>
    <row r="34" ht="42" customHeight="1">
      <c r="A34" s="21" t="n">
        <v>30</v>
      </c>
      <c r="B34" s="21" t="inlineStr">
        <is>
          <t>TC-030</t>
        </is>
      </c>
      <c r="C34" s="21" t="inlineStr">
        <is>
          <t>U 신청자</t>
        </is>
      </c>
      <c r="D34" s="17" t="inlineStr">
        <is>
          <t>P2 이수진(34·워킹맘)</t>
        </is>
      </c>
      <c r="E34" s="17" t="inlineStr">
        <is>
          <t>BK-06</t>
        </is>
      </c>
      <c r="F34" s="17" t="inlineStr">
        <is>
          <t>대관신청</t>
        </is>
      </c>
      <c r="G34" s="18" t="inlineStr">
        <is>
          <t>내가 넣은 신청만 조회된다</t>
        </is>
      </c>
      <c r="H34" s="17" t="inlineStr">
        <is>
          <t>신청 1건 존재</t>
        </is>
      </c>
      <c r="I34" s="17" t="inlineStr">
        <is>
          <t>GET (본인 토큰)</t>
        </is>
      </c>
      <c r="J34" s="17" t="inlineStr">
        <is>
          <t>본인 건만 · 방금 신청 포함</t>
        </is>
      </c>
      <c r="K34" s="17" t="inlineStr">
        <is>
          <t>3건 조회</t>
        </is>
      </c>
      <c r="L34" s="22" t="inlineStr">
        <is>
          <t>PASS</t>
        </is>
      </c>
    </row>
    <row r="35" ht="42" customHeight="1">
      <c r="A35" s="19" t="n">
        <v>31</v>
      </c>
      <c r="B35" s="19" t="inlineStr">
        <is>
          <t>TC-031</t>
        </is>
      </c>
      <c r="C35" s="19" t="inlineStr">
        <is>
          <t>U 신청자</t>
        </is>
      </c>
      <c r="D35" s="15" t="inlineStr">
        <is>
          <t>P2 이수진(34·워킹맘)</t>
        </is>
      </c>
      <c r="E35" s="15" t="inlineStr">
        <is>
          <t>BK-05</t>
        </is>
      </c>
      <c r="F35" s="15" t="inlineStr">
        <is>
          <t>대관신청</t>
        </is>
      </c>
      <c r="G35" s="16" t="inlineStr">
        <is>
          <t>승인 전이면 스스로 취소할 수 있다 (되돌리기)</t>
        </is>
      </c>
      <c r="H35" s="15" t="inlineStr">
        <is>
          <t>승인대기 상태</t>
        </is>
      </c>
      <c r="I35" s="15" t="inlineStr">
        <is>
          <t>DELETE REV-260813-1240</t>
        </is>
      </c>
      <c r="J35" s="15" t="inlineStr">
        <is>
          <t>200 · status="취소"</t>
        </is>
      </c>
      <c r="K35" s="15" t="inlineStr">
        <is>
          <t>HTTP 200 · 취소</t>
        </is>
      </c>
      <c r="L35" s="20" t="inlineStr">
        <is>
          <t>PASS</t>
        </is>
      </c>
    </row>
    <row r="36" ht="42" customHeight="1">
      <c r="A36" s="21" t="n">
        <v>32</v>
      </c>
      <c r="B36" s="21" t="inlineStr">
        <is>
          <t>TC-032</t>
        </is>
      </c>
      <c r="C36" s="21" t="inlineStr">
        <is>
          <t>U 신청자</t>
        </is>
      </c>
      <c r="D36" s="17" t="inlineStr">
        <is>
          <t>제3자 계정</t>
        </is>
      </c>
      <c r="E36" s="17" t="inlineStr">
        <is>
          <t>BK-05·RLS</t>
        </is>
      </c>
      <c r="F36" s="17" t="inlineStr">
        <is>
          <t>보안</t>
        </is>
      </c>
      <c r="G36" s="18" t="inlineStr">
        <is>
          <t>남의 신청은 취소할 수 없다</t>
        </is>
      </c>
      <c r="H36" s="17" t="inlineStr">
        <is>
          <t>다른 계정으로 로그인</t>
        </is>
      </c>
      <c r="I36" s="17" t="inlineStr">
        <is>
          <t>DELETE REV-260813-1240 (타인 소유)</t>
        </is>
      </c>
      <c r="J36" s="17" t="inlineStr">
        <is>
          <t>404/403 — 성공(200)이면 중대 결함</t>
        </is>
      </c>
      <c r="K36" s="17" t="inlineStr">
        <is>
          <t>HTTP 404</t>
        </is>
      </c>
      <c r="L36" s="22" t="inlineStr">
        <is>
          <t>PASS</t>
        </is>
      </c>
    </row>
    <row r="37" ht="42" customHeight="1">
      <c r="A37" s="19" t="n">
        <v>33</v>
      </c>
      <c r="B37" s="19" t="inlineStr">
        <is>
          <t>TC-033</t>
        </is>
      </c>
      <c r="C37" s="19" t="inlineStr">
        <is>
          <t>O 공무원</t>
        </is>
      </c>
      <c r="D37" s="15" t="inlineStr">
        <is>
          <t>P4 최영수(45·공무원)</t>
        </is>
      </c>
      <c r="E37" s="15" t="inlineStr">
        <is>
          <t>SP-07</t>
        </is>
      </c>
      <c r="F37" s="15" t="inlineStr">
        <is>
          <t>조건조회</t>
        </is>
      </c>
      <c r="G37" s="16" t="inlineStr">
        <is>
          <t>조건 필터 화면이 전체 공간을 다 담고 있다</t>
        </is>
      </c>
      <c r="H37" s="15" t="inlineStr">
        <is>
          <t>/spaces 화면 (구 조건조회 통합)</t>
        </is>
      </c>
      <c r="I37" s="15" t="inlineStr">
        <is>
          <t>데이터 로드</t>
        </is>
      </c>
      <c r="J37" s="15" t="inlineStr">
        <is>
          <t>계획서 공간 11건 전량</t>
        </is>
      </c>
      <c r="K37" s="15" t="inlineStr">
        <is>
          <t>11건</t>
        </is>
      </c>
      <c r="L37" s="20" t="inlineStr">
        <is>
          <t>PASS</t>
        </is>
      </c>
    </row>
    <row r="38" ht="42" customHeight="1">
      <c r="A38" s="21" t="n">
        <v>34</v>
      </c>
      <c r="B38" s="21" t="inlineStr">
        <is>
          <t>TC-034</t>
        </is>
      </c>
      <c r="C38" s="21" t="inlineStr">
        <is>
          <t>O 공무원</t>
        </is>
      </c>
      <c r="D38" s="17" t="inlineStr">
        <is>
          <t>P4 최영수(45·공무원)</t>
        </is>
      </c>
      <c r="E38" s="17" t="inlineStr">
        <is>
          <t>SP-07</t>
        </is>
      </c>
      <c r="F38" s="17" t="inlineStr">
        <is>
          <t>조건조회</t>
        </is>
      </c>
      <c r="G38" s="18" t="inlineStr">
        <is>
          <t>카테고리 분류가 데이터와 일치한다</t>
        </is>
      </c>
      <c r="H38" s="17" t="inlineStr">
        <is>
          <t>필터 옵션</t>
        </is>
      </c>
      <c r="I38" s="17" t="inlineStr">
        <is>
          <t>category 목록</t>
        </is>
      </c>
      <c r="J38" s="17" t="inlineStr">
        <is>
          <t>정의된 분류 외 값 없음</t>
        </is>
      </c>
      <c r="K38" s="17" t="inlineStr">
        <is>
          <t>돌봄, 키친·조리, 카페·라운지, 회의·교육, 공방·체험, 전시·공연, 숙박</t>
        </is>
      </c>
      <c r="L38" s="22" t="inlineStr">
        <is>
          <t>PASS</t>
        </is>
      </c>
    </row>
    <row r="39" ht="42" customHeight="1">
      <c r="A39" s="19" t="n">
        <v>35</v>
      </c>
      <c r="B39" s="19" t="inlineStr">
        <is>
          <t>TC-035</t>
        </is>
      </c>
      <c r="C39" s="19" t="inlineStr">
        <is>
          <t>O 공무원</t>
        </is>
      </c>
      <c r="D39" s="15" t="inlineStr">
        <is>
          <t>P4 최영수(45·공무원)</t>
        </is>
      </c>
      <c r="E39" s="15" t="inlineStr">
        <is>
          <t>SP-07·G1</t>
        </is>
      </c>
      <c r="F39" s="15" t="inlineStr">
        <is>
          <t>UX</t>
        </is>
      </c>
      <c r="G39" s="16" t="inlineStr">
        <is>
          <t>목록 화면에 시스템 자기설명 문구가 없다 (예약 서비스 톤)</t>
        </is>
      </c>
      <c r="H39" s="15" t="inlineStr">
        <is>
          <t>/spaces</t>
        </is>
      </c>
      <c r="I39" s="15" t="inlineStr">
        <is>
          <t>화면 문구</t>
        </is>
      </c>
      <c r="J39" s="15" t="inlineStr">
        <is>
          <t>AI 미사용·계획값 고지 문구 제거됨</t>
        </is>
      </c>
      <c r="K39" s="15" t="inlineStr">
        <is>
          <t>방어적 문구 없음 확인</t>
        </is>
      </c>
      <c r="L39" s="20" t="inlineStr">
        <is>
          <t>PASS</t>
        </is>
      </c>
    </row>
    <row r="40" ht="42" customHeight="1">
      <c r="A40" s="21" t="n">
        <v>36</v>
      </c>
      <c r="B40" s="21" t="inlineStr">
        <is>
          <t>TC-036</t>
        </is>
      </c>
      <c r="C40" s="21" t="inlineStr">
        <is>
          <t>O 공무원</t>
        </is>
      </c>
      <c r="D40" s="17" t="inlineStr">
        <is>
          <t>P4 최영수(45·공무원)</t>
        </is>
      </c>
      <c r="E40" s="17" t="inlineStr">
        <is>
          <t>SP-07</t>
        </is>
      </c>
      <c r="F40" s="17" t="inlineStr">
        <is>
          <t>UX</t>
        </is>
      </c>
      <c r="G40" s="18" t="inlineStr">
        <is>
          <t>조건 3종(용도·시설·인원)과 정렬이 한 화면에 있다</t>
        </is>
      </c>
      <c r="H40" s="17" t="inlineStr">
        <is>
          <t>「조건조회」를 「공간안내」로 통합</t>
        </is>
      </c>
      <c r="I40" s="17" t="inlineStr">
        <is>
          <t>화면 구성 확인</t>
        </is>
      </c>
      <c r="J40" s="17" t="inlineStr">
        <is>
          <t>필터 3종 + 정렬 — 별도 메뉴 불필요</t>
        </is>
      </c>
      <c r="K40" s="17" t="inlineStr">
        <is>
          <t>필터 3종=true · 정렬=true</t>
        </is>
      </c>
      <c r="L40" s="22" t="inlineStr">
        <is>
          <t>PASS</t>
        </is>
      </c>
    </row>
    <row r="41" ht="42" customHeight="1">
      <c r="A41" s="19" t="n">
        <v>37</v>
      </c>
      <c r="B41" s="19" t="inlineStr">
        <is>
          <t>TC-037</t>
        </is>
      </c>
      <c r="C41" s="19" t="inlineStr">
        <is>
          <t>O 공무원</t>
        </is>
      </c>
      <c r="D41" s="15" t="inlineStr">
        <is>
          <t>P1 김명자(68·주민)</t>
        </is>
      </c>
      <c r="E41" s="15" t="inlineStr">
        <is>
          <t>SP-02·G10</t>
        </is>
      </c>
      <c r="F41" s="15" t="inlineStr">
        <is>
          <t>UX</t>
        </is>
      </c>
      <c r="G41" s="16" t="inlineStr">
        <is>
          <t>홈에서 물어보고 바로 아래에서 공간을 볼 수 있다</t>
        </is>
      </c>
      <c r="H41" s="15" t="inlineStr">
        <is>
          <t>홈과 공간안내 통합</t>
        </is>
      </c>
      <c r="I41" s="15" t="inlineStr">
        <is>
          <t>홈 화면 구성</t>
        </is>
      </c>
      <c r="J41" s="15" t="inlineStr">
        <is>
          <t>검색 입력 + 공간 목록이 한 화면에</t>
        </is>
      </c>
      <c r="K41" s="15" t="inlineStr">
        <is>
          <t>질문=true · 목록=true</t>
        </is>
      </c>
      <c r="L41" s="20" t="inlineStr">
        <is>
          <t>PASS</t>
        </is>
      </c>
    </row>
    <row r="42" ht="42" customHeight="1">
      <c r="A42" s="21" t="n">
        <v>38</v>
      </c>
      <c r="B42" s="21" t="inlineStr">
        <is>
          <t>TC-038</t>
        </is>
      </c>
      <c r="C42" s="21" t="inlineStr">
        <is>
          <t>O 공무원</t>
        </is>
      </c>
      <c r="D42" s="17" t="inlineStr">
        <is>
          <t>P5 조율(담당자)</t>
        </is>
      </c>
      <c r="E42" s="17" t="inlineStr">
        <is>
          <t>AD-01</t>
        </is>
      </c>
      <c r="F42" s="17" t="inlineStr">
        <is>
          <t>UX</t>
        </is>
      </c>
      <c r="G42" s="18" t="inlineStr">
        <is>
          <t>검색 집계는 이용자 화면에서 빠지고 담당자 화면에 있다</t>
        </is>
      </c>
      <c r="H42" s="17" t="inlineStr">
        <is>
          <t>이용자에겐 의미 없는 지표</t>
        </is>
      </c>
      <c r="I42" s="17" t="inlineStr">
        <is>
          <t>홈 · 대시보드</t>
        </is>
      </c>
      <c r="J42" s="17" t="inlineStr">
        <is>
          <t>홈에 없고 대시보드에 있음</t>
        </is>
      </c>
      <c r="K42" s="17" t="inlineStr">
        <is>
          <t>홈=제거됨 · 대시보드=있음</t>
        </is>
      </c>
      <c r="L42" s="22" t="inlineStr">
        <is>
          <t>PASS</t>
        </is>
      </c>
    </row>
    <row r="43" ht="42" customHeight="1">
      <c r="A43" s="19" t="n">
        <v>39</v>
      </c>
      <c r="B43" s="19" t="inlineStr">
        <is>
          <t>TC-039</t>
        </is>
      </c>
      <c r="C43" s="19" t="inlineStr">
        <is>
          <t>O 공무원</t>
        </is>
      </c>
      <c r="D43" s="15" t="inlineStr">
        <is>
          <t>미인증 외부인</t>
        </is>
      </c>
      <c r="E43" s="15" t="inlineStr">
        <is>
          <t>AU-01·G10</t>
        </is>
      </c>
      <c r="F43" s="15" t="inlineStr">
        <is>
          <t>UX</t>
        </is>
      </c>
      <c r="G43" s="16" t="inlineStr">
        <is>
          <t>로그인해야 볼 수 있는 메뉴는 로그인 전에 보이지 않는다</t>
        </is>
      </c>
      <c r="H43" s="15" t="inlineStr">
        <is>
          <t>예약현황은 로그인 필수</t>
        </is>
      </c>
      <c r="I43" s="15" t="inlineStr">
        <is>
          <t>네비 구성</t>
        </is>
      </c>
      <c r="J43" s="15" t="inlineStr">
        <is>
          <t>예약현황이 isLoggedIn 일 때만 노출</t>
        </is>
      </c>
      <c r="K43" s="15" t="inlineStr">
        <is>
          <t>조건부 노출=true</t>
        </is>
      </c>
      <c r="L43" s="20" t="inlineStr">
        <is>
          <t>PASS</t>
        </is>
      </c>
    </row>
    <row r="44" ht="42" customHeight="1">
      <c r="A44" s="21" t="n">
        <v>40</v>
      </c>
      <c r="B44" s="21" t="inlineStr">
        <is>
          <t>TC-040</t>
        </is>
      </c>
      <c r="C44" s="21" t="inlineStr">
        <is>
          <t>O 공무원</t>
        </is>
      </c>
      <c r="D44" s="17" t="inlineStr">
        <is>
          <t>P1 김명자(68·주민)</t>
        </is>
      </c>
      <c r="E44" s="17" t="inlineStr">
        <is>
          <t>SP-07·G10</t>
        </is>
      </c>
      <c r="F44" s="17" t="inlineStr">
        <is>
          <t>UX</t>
        </is>
      </c>
      <c r="G44" s="18" t="inlineStr">
        <is>
          <t>중복 메뉴가 사라지고 기존 링크는 살아 있다</t>
        </is>
      </c>
      <c r="H44" s="17" t="inlineStr">
        <is>
          <t>/filter 북마크·문서 링크 존재</t>
        </is>
      </c>
      <c r="I44" s="17" t="inlineStr">
        <is>
          <t>네비 + 라우트</t>
        </is>
      </c>
      <c r="J44" s="17" t="inlineStr">
        <is>
          <t>메뉴에서 조건조회 제거 · /filter 는 리다이렉트로 보존</t>
        </is>
      </c>
      <c r="K44" s="17" t="inlineStr">
        <is>
          <t>네비 제거=true · 리다이렉트=true</t>
        </is>
      </c>
      <c r="L44" s="22" t="inlineStr">
        <is>
          <t>PASS</t>
        </is>
      </c>
    </row>
    <row r="45" ht="42" customHeight="1">
      <c r="A45" s="19" t="n">
        <v>41</v>
      </c>
      <c r="B45" s="19" t="inlineStr">
        <is>
          <t>TC-041</t>
        </is>
      </c>
      <c r="C45" s="19" t="inlineStr">
        <is>
          <t>A 담당자</t>
        </is>
      </c>
      <c r="D45" s="15" t="inlineStr">
        <is>
          <t>P5 조율(담당자)</t>
        </is>
      </c>
      <c r="E45" s="15" t="inlineStr">
        <is>
          <t>AD-01</t>
        </is>
      </c>
      <c r="F45" s="15" t="inlineStr">
        <is>
          <t>집계</t>
        </is>
      </c>
      <c r="G45" s="16" t="inlineStr">
        <is>
          <t>오늘 주민이 무엇을 찾았는지 한 화면에서 본다</t>
        </is>
      </c>
      <c r="H45" s="15" t="inlineStr">
        <is>
          <t>토큰 보유</t>
        </is>
      </c>
      <c r="I45" s="15" t="inlineStr">
        <is>
          <t>GET /api/stats</t>
        </is>
      </c>
      <c r="J45" s="15" t="inlineStr">
        <is>
          <t>200 · 검색 누적 집계</t>
        </is>
      </c>
      <c r="K45" s="15" t="inlineStr">
        <is>
          <t>검색 251건 · 미충족 164건</t>
        </is>
      </c>
      <c r="L45" s="20" t="inlineStr">
        <is>
          <t>PASS</t>
        </is>
      </c>
    </row>
    <row r="46" ht="42" customHeight="1">
      <c r="A46" s="21" t="n">
        <v>42</v>
      </c>
      <c r="B46" s="21" t="inlineStr">
        <is>
          <t>TC-042</t>
        </is>
      </c>
      <c r="C46" s="21" t="inlineStr">
        <is>
          <t>A 담당자</t>
        </is>
      </c>
      <c r="D46" s="17" t="inlineStr">
        <is>
          <t>P5 조율(담당자)</t>
        </is>
      </c>
      <c r="E46" s="17" t="inlineStr">
        <is>
          <t>AD-02</t>
        </is>
      </c>
      <c r="F46" s="17" t="inlineStr">
        <is>
          <t>집계</t>
        </is>
      </c>
      <c r="G46" s="18" t="inlineStr">
        <is>
          <t>못 찾은 요청이 유형별로 묶여 나온다</t>
        </is>
      </c>
      <c r="H46" s="17" t="inlineStr">
        <is>
          <t>미충족 발생</t>
        </is>
      </c>
      <c r="I46" s="17" t="inlineStr">
        <is>
          <t>unmetTypes</t>
        </is>
      </c>
      <c r="J46" s="17" t="inlineStr">
        <is>
          <t>유형 1개 이상</t>
        </is>
      </c>
      <c r="K46" s="17" t="inlineStr">
        <is>
          <t>분류 미상(148), 영주 지역 회의·교육(8), 키친·조리(1), 부녀회 활동 공간(1), 요청 정보 불분명(1), 15명 이상 단체 조리 공간(1), 요청 유형 없음(1), 유효하지 않은 공간 검색 요청(1), 워밍업 공간(1), 수영장(1)</t>
        </is>
      </c>
      <c r="L46" s="22" t="inlineStr">
        <is>
          <t>PASS</t>
        </is>
      </c>
    </row>
    <row r="47" ht="42" customHeight="1">
      <c r="A47" s="19" t="n">
        <v>43</v>
      </c>
      <c r="B47" s="19" t="inlineStr">
        <is>
          <t>TC-043</t>
        </is>
      </c>
      <c r="C47" s="19" t="inlineStr">
        <is>
          <t>A 담당자</t>
        </is>
      </c>
      <c r="D47" s="15" t="inlineStr">
        <is>
          <t>P5 조율(담당자)</t>
        </is>
      </c>
      <c r="E47" s="15" t="inlineStr">
        <is>
          <t>AD-03·SR-10</t>
        </is>
      </c>
      <c r="F47" s="15" t="inlineStr">
        <is>
          <t>집계</t>
        </is>
      </c>
      <c r="G47" s="16" t="inlineStr">
        <is>
          <t>AI 없이 처리한 비율이 산출된다 (운영비 근거)</t>
        </is>
      </c>
      <c r="H47" s="15" t="inlineStr">
        <is>
          <t>검색 누적</t>
        </is>
      </c>
      <c r="I47" s="15" t="inlineStr">
        <is>
          <t>noLlmRate</t>
        </is>
      </c>
      <c r="J47" s="15" t="inlineStr">
        <is>
          <t>숫자값 · 계층 분포 표기</t>
        </is>
      </c>
      <c r="K47" s="15" t="inlineStr">
        <is>
          <t>무LLM 96% · ③ 임베딩:156 ① 조건필터:68 ② 퍼지:18 ④ LLM:9</t>
        </is>
      </c>
      <c r="L47" s="20" t="inlineStr">
        <is>
          <t>PASS</t>
        </is>
      </c>
    </row>
    <row r="48" ht="42" customHeight="1">
      <c r="A48" s="21" t="n">
        <v>44</v>
      </c>
      <c r="B48" s="21" t="inlineStr">
        <is>
          <t>TC-044</t>
        </is>
      </c>
      <c r="C48" s="21" t="inlineStr">
        <is>
          <t>A 담당자</t>
        </is>
      </c>
      <c r="D48" s="17" t="inlineStr">
        <is>
          <t>P5 조율(담당자)</t>
        </is>
      </c>
      <c r="E48" s="17" t="inlineStr">
        <is>
          <t>AD-14</t>
        </is>
      </c>
      <c r="F48" s="17" t="inlineStr">
        <is>
          <t>집계</t>
        </is>
      </c>
      <c r="G48" s="18" t="inlineStr">
        <is>
          <t>개관 대기자 수가 집계된다 (현재 개관 예정 공간 없음 → 0명)</t>
        </is>
      </c>
      <c r="H48" s="17" t="inlineStr">
        <is>
          <t>전 공간 운영 중</t>
        </is>
      </c>
      <c r="I48" s="17" t="inlineStr">
        <is>
          <t>notifyWaiters</t>
        </is>
      </c>
      <c r="J48" s="17" t="inlineStr">
        <is>
          <t>숫자 산출</t>
        </is>
      </c>
      <c r="K48" s="17" t="inlineStr">
        <is>
          <t>0명 대기</t>
        </is>
      </c>
      <c r="L48" s="22" t="inlineStr">
        <is>
          <t>PASS</t>
        </is>
      </c>
    </row>
    <row r="49" ht="42" customHeight="1">
      <c r="A49" s="19" t="n">
        <v>45</v>
      </c>
      <c r="B49" s="19" t="inlineStr">
        <is>
          <t>TC-045</t>
        </is>
      </c>
      <c r="C49" s="19" t="inlineStr">
        <is>
          <t>A 담당자</t>
        </is>
      </c>
      <c r="D49" s="15" t="inlineStr">
        <is>
          <t>P5 조율(담당자)</t>
        </is>
      </c>
      <c r="E49" s="15" t="inlineStr">
        <is>
          <t>AD-13</t>
        </is>
      </c>
      <c r="F49" s="15" t="inlineStr">
        <is>
          <t>집계</t>
        </is>
      </c>
      <c r="G49" s="16" t="inlineStr">
        <is>
          <t>이탈 사유가 집계된다</t>
        </is>
      </c>
      <c r="H49" s="15" t="inlineStr">
        <is>
          <t>피드백 제출됨</t>
        </is>
      </c>
      <c r="I49" s="15" t="inlineStr">
        <is>
          <t>feedbackReasons</t>
        </is>
      </c>
      <c r="J49" s="15" t="inlineStr">
        <is>
          <t>1건 이상</t>
        </is>
      </c>
      <c r="K49" s="15" t="inlineStr">
        <is>
          <t>10건 · 시간이 안 맞아요</t>
        </is>
      </c>
      <c r="L49" s="20" t="inlineStr">
        <is>
          <t>PASS</t>
        </is>
      </c>
    </row>
    <row r="50" ht="42" customHeight="1">
      <c r="A50" s="21" t="n">
        <v>46</v>
      </c>
      <c r="B50" s="21" t="inlineStr">
        <is>
          <t>TC-046</t>
        </is>
      </c>
      <c r="C50" s="21" t="inlineStr">
        <is>
          <t>A 담당자</t>
        </is>
      </c>
      <c r="D50" s="17" t="inlineStr">
        <is>
          <t>P5 조율(담당자)</t>
        </is>
      </c>
      <c r="E50" s="17" t="inlineStr">
        <is>
          <t>LG-06</t>
        </is>
      </c>
      <c r="F50" s="17" t="inlineStr">
        <is>
          <t>보안</t>
        </is>
      </c>
      <c r="G50" s="18" t="inlineStr">
        <is>
          <t>토큰이 있으면 원문 질의를 열람할 수 있다</t>
        </is>
      </c>
      <c r="H50" s="17" t="inlineStr">
        <is>
          <t>ADMIN_TOKEN 제시</t>
        </is>
      </c>
      <c r="I50" s="17" t="inlineStr">
        <is>
          <t>x-admin-token</t>
        </is>
      </c>
      <c r="J50" s="17" t="inlineStr">
        <is>
          <t>detailAuthorized=true · 원문 노출</t>
        </is>
      </c>
      <c r="K50" s="17" t="inlineStr">
        <is>
          <t>열람=true · 예시="영주에 20명 들어가는 회의실 있나요?"</t>
        </is>
      </c>
      <c r="L50" s="22" t="inlineStr">
        <is>
          <t>PASS</t>
        </is>
      </c>
    </row>
    <row r="51" ht="42" customHeight="1">
      <c r="A51" s="19" t="n">
        <v>47</v>
      </c>
      <c r="B51" s="19" t="inlineStr">
        <is>
          <t>TC-047</t>
        </is>
      </c>
      <c r="C51" s="19" t="inlineStr">
        <is>
          <t>A 담당자</t>
        </is>
      </c>
      <c r="D51" s="15" t="inlineStr">
        <is>
          <t>P5 조율(담당자)</t>
        </is>
      </c>
      <c r="E51" s="15" t="inlineStr">
        <is>
          <t>AD-04</t>
        </is>
      </c>
      <c r="F51" s="15" t="inlineStr">
        <is>
          <t>집계</t>
        </is>
      </c>
      <c r="G51" s="16" t="inlineStr">
        <is>
          <t>대관 신청 현황이 반영된다</t>
        </is>
      </c>
      <c r="H51" s="15" t="inlineStr">
        <is>
          <t>신청→취소 1건</t>
        </is>
      </c>
      <c r="I51" s="15" t="inlineStr">
        <is>
          <t>reservations</t>
        </is>
      </c>
      <c r="J51" s="15" t="inlineStr">
        <is>
          <t>1건 이상 집계</t>
        </is>
      </c>
      <c r="K51" s="15" t="inlineStr">
        <is>
          <t>총 4건 · 대기 1 · 취소 3</t>
        </is>
      </c>
      <c r="L51" s="20" t="inlineStr">
        <is>
          <t>PASS</t>
        </is>
      </c>
    </row>
    <row r="52" ht="42" customHeight="1">
      <c r="A52" s="21" t="n">
        <v>48</v>
      </c>
      <c r="B52" s="21" t="inlineStr">
        <is>
          <t>TC-048</t>
        </is>
      </c>
      <c r="C52" s="21" t="inlineStr">
        <is>
          <t>A 담당자</t>
        </is>
      </c>
      <c r="D52" s="17" t="inlineStr">
        <is>
          <t>토큰 오입력</t>
        </is>
      </c>
      <c r="E52" s="17" t="inlineStr">
        <is>
          <t>LG-06</t>
        </is>
      </c>
      <c r="F52" s="17" t="inlineStr">
        <is>
          <t>보안</t>
        </is>
      </c>
      <c r="G52" s="18" t="inlineStr">
        <is>
          <t>틀린 토큰으로는 원문이 열리지 않는다</t>
        </is>
      </c>
      <c r="H52" s="17" t="inlineStr">
        <is>
          <t>잘못된 토큰</t>
        </is>
      </c>
      <c r="I52" s="17" t="inlineStr">
        <is>
          <t>x-admin-token: wrong-token-xyz</t>
        </is>
      </c>
      <c r="J52" s="17" t="inlineStr">
        <is>
          <t>detailAuthorized=false</t>
        </is>
      </c>
      <c r="K52" s="17" t="inlineStr">
        <is>
          <t>열람=false</t>
        </is>
      </c>
      <c r="L52" s="22" t="inlineStr">
        <is>
          <t>PASS</t>
        </is>
      </c>
    </row>
    <row r="53" ht="42" customHeight="1">
      <c r="A53" s="19" t="n">
        <v>49</v>
      </c>
      <c r="B53" s="19" t="inlineStr">
        <is>
          <t>TC-049</t>
        </is>
      </c>
      <c r="C53" s="19" t="inlineStr">
        <is>
          <t>A 담당자</t>
        </is>
      </c>
      <c r="D53" s="15" t="inlineStr">
        <is>
          <t>미인증 외부인</t>
        </is>
      </c>
      <c r="E53" s="15" t="inlineStr">
        <is>
          <t>AD-11</t>
        </is>
      </c>
      <c r="F53" s="15" t="inlineStr">
        <is>
          <t>보안</t>
        </is>
      </c>
      <c r="G53" s="16" t="inlineStr">
        <is>
          <t>토큰 없이는 공간 데이터를 열람·수정할 수 없다</t>
        </is>
      </c>
      <c r="H53" s="15" t="inlineStr">
        <is>
          <t>헤더 없음</t>
        </is>
      </c>
      <c r="I53" s="15" t="inlineStr">
        <is>
          <t>GET /api/admin-spaces</t>
        </is>
      </c>
      <c r="J53" s="15" t="inlineStr">
        <is>
          <t>401</t>
        </is>
      </c>
      <c r="K53" s="15" t="inlineStr">
        <is>
          <t>HTTP 401</t>
        </is>
      </c>
      <c r="L53" s="20" t="inlineStr">
        <is>
          <t>PASS</t>
        </is>
      </c>
    </row>
    <row r="54" ht="42" customHeight="1">
      <c r="A54" s="21" t="n">
        <v>50</v>
      </c>
      <c r="B54" s="21" t="inlineStr">
        <is>
          <t>TC-050</t>
        </is>
      </c>
      <c r="C54" s="21" t="inlineStr">
        <is>
          <t>A 담당자</t>
        </is>
      </c>
      <c r="D54" s="17" t="inlineStr">
        <is>
          <t>P5 조율(담당자)</t>
        </is>
      </c>
      <c r="E54" s="17" t="inlineStr">
        <is>
          <t>AD-11</t>
        </is>
      </c>
      <c r="F54" s="17" t="inlineStr">
        <is>
          <t>공간관리</t>
        </is>
      </c>
      <c r="G54" s="18" t="inlineStr">
        <is>
          <t>편집용 공간 목록을 불러온다</t>
        </is>
      </c>
      <c r="H54" s="17" t="inlineStr">
        <is>
          <t>토큰 보유</t>
        </is>
      </c>
      <c r="I54" s="17" t="inlineStr">
        <is>
          <t>GET /api/admin-spaces</t>
        </is>
      </c>
      <c r="J54" s="17" t="inlineStr">
        <is>
          <t>200 · 11건</t>
        </is>
      </c>
      <c r="K54" s="17" t="inlineStr">
        <is>
          <t>HTTP 200 · 11건</t>
        </is>
      </c>
      <c r="L54" s="22" t="inlineStr">
        <is>
          <t>PASS</t>
        </is>
      </c>
    </row>
    <row r="55" ht="42" customHeight="1">
      <c r="A55" s="19" t="n">
        <v>51</v>
      </c>
      <c r="B55" s="19" t="inlineStr">
        <is>
          <t>TC-051</t>
        </is>
      </c>
      <c r="C55" s="19" t="inlineStr">
        <is>
          <t>A 담당자</t>
        </is>
      </c>
      <c r="D55" s="15" t="inlineStr">
        <is>
          <t>P5 조율(담당자)</t>
        </is>
      </c>
      <c r="E55" s="15" t="inlineStr">
        <is>
          <t>AD-11</t>
        </is>
      </c>
      <c r="F55" s="15" t="inlineStr">
        <is>
          <t>공간관리</t>
        </is>
      </c>
      <c r="G55" s="16" t="inlineStr">
        <is>
          <t>비어 있던 값을 채워 저장한다 (주민라운지 정원)</t>
        </is>
      </c>
      <c r="H55" s="15" t="inlineStr">
        <is>
          <t>GL6 정원 미확정</t>
        </is>
      </c>
      <c r="I55" s="15" t="inlineStr">
        <is>
          <t>capacity 10~80 · 연락처</t>
        </is>
      </c>
      <c r="J55" s="15" t="inlineStr">
        <is>
          <t>200 · 값 반영</t>
        </is>
      </c>
      <c r="K55" s="15" t="inlineStr">
        <is>
          <t>HTTP 200 · 정원=10~80 · 변경 3개 필드</t>
        </is>
      </c>
      <c r="L55" s="20" t="inlineStr">
        <is>
          <t>PASS</t>
        </is>
      </c>
    </row>
    <row r="56" ht="42" customHeight="1">
      <c r="A56" s="21" t="n">
        <v>52</v>
      </c>
      <c r="B56" s="21" t="inlineStr">
        <is>
          <t>TC-052</t>
        </is>
      </c>
      <c r="C56" s="21" t="inlineStr">
        <is>
          <t>A 담당자</t>
        </is>
      </c>
      <c r="D56" s="17" t="inlineStr">
        <is>
          <t>P5 조율(담당자)</t>
        </is>
      </c>
      <c r="E56" s="17" t="inlineStr">
        <is>
          <t>AD-11</t>
        </is>
      </c>
      <c r="F56" s="17" t="inlineStr">
        <is>
          <t>입력검증</t>
        </is>
      </c>
      <c r="G56" s="18" t="inlineStr">
        <is>
          <t>최소 인원이 최대보다 크면 저장되지 않는다</t>
        </is>
      </c>
      <c r="H56" s="17" t="inlineStr">
        <is>
          <t>교차 검증</t>
        </is>
      </c>
      <c r="I56" s="17" t="inlineStr">
        <is>
          <t>min=50 · max=10</t>
        </is>
      </c>
      <c r="J56" s="17" t="inlineStr">
        <is>
          <t>400</t>
        </is>
      </c>
      <c r="K56" s="17" t="inlineStr">
        <is>
          <t>HTTP 400 · 최소 인원이 최대 인원보다 클 수 없습니다.</t>
        </is>
      </c>
      <c r="L56" s="22" t="inlineStr">
        <is>
          <t>PASS</t>
        </is>
      </c>
    </row>
    <row r="57" ht="42" customHeight="1">
      <c r="A57" s="19" t="n">
        <v>53</v>
      </c>
      <c r="B57" s="19" t="inlineStr">
        <is>
          <t>TC-053</t>
        </is>
      </c>
      <c r="C57" s="19" t="inlineStr">
        <is>
          <t>A 담당자</t>
        </is>
      </c>
      <c r="D57" s="15" t="inlineStr">
        <is>
          <t>P5 조율(담당자)</t>
        </is>
      </c>
      <c r="E57" s="15" t="inlineStr">
        <is>
          <t>AD-11·BK-08</t>
        </is>
      </c>
      <c r="F57" s="15" t="inlineStr">
        <is>
          <t>입력검증</t>
        </is>
      </c>
      <c r="G57" s="16" t="inlineStr">
        <is>
          <t>예약방법·정원 없이 온라인 신청을 열 수 없다</t>
        </is>
      </c>
      <c r="H57" s="15" t="inlineStr">
        <is>
          <t>교차 검증</t>
        </is>
      </c>
      <c r="I57" s="15" t="inlineStr">
        <is>
          <t>self 유지 + 예약방법·정원 비움</t>
        </is>
      </c>
      <c r="J57" s="15" t="inlineStr">
        <is>
          <t>400 + 사유 안내</t>
        </is>
      </c>
      <c r="K57" s="15" t="inlineStr">
        <is>
          <t>HTTP 400 · 온라인 신청(self)으로 두려면 예약 방법과 최대 인원이 있어야 합니다. 아직 확정 전이면 채널을 phon</t>
        </is>
      </c>
      <c r="L57" s="20" t="inlineStr">
        <is>
          <t>PASS</t>
        </is>
      </c>
    </row>
    <row r="58" ht="42" customHeight="1">
      <c r="A58" s="21" t="n">
        <v>54</v>
      </c>
      <c r="B58" s="21" t="inlineStr">
        <is>
          <t>TC-054</t>
        </is>
      </c>
      <c r="C58" s="21" t="inlineStr">
        <is>
          <t>A 담당자</t>
        </is>
      </c>
      <c r="D58" s="17" t="inlineStr">
        <is>
          <t>권한 오용</t>
        </is>
      </c>
      <c r="E58" s="17" t="inlineStr">
        <is>
          <t>AD-11</t>
        </is>
      </c>
      <c r="F58" s="17" t="inlineStr">
        <is>
          <t>보안</t>
        </is>
      </c>
      <c r="G58" s="18" t="inlineStr">
        <is>
          <t>허용되지 않은 필드는 수정할 수 없다 (id·색인)</t>
        </is>
      </c>
      <c r="H58" s="17" t="inlineStr">
        <is>
          <t>화이트리스트</t>
        </is>
      </c>
      <c r="I58" s="17" t="inlineStr">
        <is>
          <t>id·embedding 변경 시도</t>
        </is>
      </c>
      <c r="J58" s="17" t="inlineStr">
        <is>
          <t>400 거절</t>
        </is>
      </c>
      <c r="K58" s="17" t="inlineStr">
        <is>
          <t>HTTP 400 · 수정할 수 없는 항목입니다: id, embedding</t>
        </is>
      </c>
      <c r="L58" s="22" t="inlineStr">
        <is>
          <t>PASS</t>
        </is>
      </c>
    </row>
    <row r="59" ht="42" customHeight="1">
      <c r="A59" s="19" t="n">
        <v>55</v>
      </c>
      <c r="B59" s="19" t="inlineStr">
        <is>
          <t>TC-055</t>
        </is>
      </c>
      <c r="C59" s="19" t="inlineStr">
        <is>
          <t>A 담당자</t>
        </is>
      </c>
      <c r="D59" s="15" t="inlineStr">
        <is>
          <t>P5 조율(담당자)</t>
        </is>
      </c>
      <c r="E59" s="15" t="inlineStr">
        <is>
          <t>AD-11·SP-04</t>
        </is>
      </c>
      <c r="F59" s="15" t="inlineStr">
        <is>
          <t>공간관리</t>
        </is>
      </c>
      <c r="G59" s="16" t="inlineStr">
        <is>
          <t>입력란을 비우면 「확인 필요」로 되돌아간다</t>
        </is>
      </c>
      <c r="H59" s="15" t="inlineStr">
        <is>
          <t>연락처 입력 후 삭제</t>
        </is>
      </c>
      <c r="I59" s="15" t="inlineStr">
        <is>
          <t xml:space="preserve">contact="" </t>
        </is>
      </c>
      <c r="J59" s="15" t="inlineStr">
        <is>
          <t>null 저장 (빈 문자열 아님)</t>
        </is>
      </c>
      <c r="K59" s="15" t="inlineStr">
        <is>
          <t>입력후="054-679-1234" → 비운후=null</t>
        </is>
      </c>
      <c r="L59" s="20" t="inlineStr">
        <is>
          <t>PASS</t>
        </is>
      </c>
    </row>
    <row r="60" ht="42" customHeight="1">
      <c r="A60" s="21" t="n">
        <v>56</v>
      </c>
      <c r="B60" s="21" t="inlineStr">
        <is>
          <t>TC-056</t>
        </is>
      </c>
      <c r="C60" s="21" t="inlineStr">
        <is>
          <t>A 담당자</t>
        </is>
      </c>
      <c r="D60" s="17" t="inlineStr">
        <is>
          <t>미인증 외부인</t>
        </is>
      </c>
      <c r="E60" s="17" t="inlineStr">
        <is>
          <t>AD-11</t>
        </is>
      </c>
      <c r="F60" s="17" t="inlineStr">
        <is>
          <t>보안</t>
        </is>
      </c>
      <c r="G60" s="18" t="inlineStr">
        <is>
          <t>토큰 없이는 공간 사진을 바꿀 수 없다</t>
        </is>
      </c>
      <c r="H60" s="17" t="inlineStr">
        <is>
          <t>헤더 없음</t>
        </is>
      </c>
      <c r="I60" s="17" t="inlineStr">
        <is>
          <t>POST /api/admin-photo</t>
        </is>
      </c>
      <c r="J60" s="17" t="inlineStr">
        <is>
          <t>401</t>
        </is>
      </c>
      <c r="K60" s="17" t="inlineStr">
        <is>
          <t>HTTP 401</t>
        </is>
      </c>
      <c r="L60" s="22" t="inlineStr">
        <is>
          <t>PASS</t>
        </is>
      </c>
    </row>
    <row r="61" ht="42" customHeight="1">
      <c r="A61" s="19" t="n">
        <v>57</v>
      </c>
      <c r="B61" s="19" t="inlineStr">
        <is>
          <t>TC-057</t>
        </is>
      </c>
      <c r="C61" s="19" t="inlineStr">
        <is>
          <t>A 담당자</t>
        </is>
      </c>
      <c r="D61" s="15" t="inlineStr">
        <is>
          <t>권한 오용</t>
        </is>
      </c>
      <c r="E61" s="15" t="inlineStr">
        <is>
          <t>AD-11</t>
        </is>
      </c>
      <c r="F61" s="15" t="inlineStr">
        <is>
          <t>보안</t>
        </is>
      </c>
      <c r="G61" s="16" t="inlineStr">
        <is>
          <t>이미지가 아닌 파일은 올릴 수 없다</t>
        </is>
      </c>
      <c r="H61" s="15" t="inlineStr">
        <is>
          <t>토큰 보유</t>
        </is>
      </c>
      <c r="I61" s="15" t="inlineStr">
        <is>
          <t>text/html data URL</t>
        </is>
      </c>
      <c r="J61" s="15" t="inlineStr">
        <is>
          <t>400 거절</t>
        </is>
      </c>
      <c r="K61" s="15" t="inlineStr">
        <is>
          <t>HTTP 400 · JPG·PNG·WebP 이미지만 올릴 수 있습니다.</t>
        </is>
      </c>
      <c r="L61" s="20" t="inlineStr">
        <is>
          <t>PASS</t>
        </is>
      </c>
    </row>
    <row r="62" ht="42" customHeight="1">
      <c r="A62" s="21" t="n">
        <v>58</v>
      </c>
      <c r="B62" s="21" t="inlineStr">
        <is>
          <t>TC-058</t>
        </is>
      </c>
      <c r="C62" s="21" t="inlineStr">
        <is>
          <t>A 담당자</t>
        </is>
      </c>
      <c r="D62" s="17" t="inlineStr">
        <is>
          <t>권한 오용</t>
        </is>
      </c>
      <c r="E62" s="17" t="inlineStr">
        <is>
          <t>AD-11</t>
        </is>
      </c>
      <c r="F62" s="17" t="inlineStr">
        <is>
          <t>보안</t>
        </is>
      </c>
      <c r="G62" s="18" t="inlineStr">
        <is>
          <t>존재하지 않는 공간에는 사진을 올릴 수 없다</t>
        </is>
      </c>
      <c r="H62" s="17" t="inlineStr">
        <is>
          <t>토큰 보유</t>
        </is>
      </c>
      <c r="I62" s="17" t="inlineStr">
        <is>
          <t>id=ZZ99</t>
        </is>
      </c>
      <c r="J62" s="17" t="inlineStr">
        <is>
          <t>404</t>
        </is>
      </c>
      <c r="K62" s="17" t="inlineStr">
        <is>
          <t>HTTP 404 · 해당 공간이 없습니다.</t>
        </is>
      </c>
      <c r="L62" s="22" t="inlineStr">
        <is>
          <t>PASS</t>
        </is>
      </c>
    </row>
    <row r="63" ht="42" customHeight="1">
      <c r="A63" s="19" t="n">
        <v>59</v>
      </c>
      <c r="B63" s="19" t="inlineStr">
        <is>
          <t>TC-059</t>
        </is>
      </c>
      <c r="C63" s="19" t="inlineStr">
        <is>
          <t>A 담당자</t>
        </is>
      </c>
      <c r="D63" s="15" t="inlineStr">
        <is>
          <t>P5 조율(담당자)</t>
        </is>
      </c>
      <c r="E63" s="15" t="inlineStr">
        <is>
          <t>AD-11</t>
        </is>
      </c>
      <c r="F63" s="15" t="inlineStr">
        <is>
          <t>공간관리</t>
        </is>
      </c>
      <c r="G63" s="16" t="inlineStr">
        <is>
          <t>공간 사진을 올리면 공개 주소로 바로 보인다</t>
        </is>
      </c>
      <c r="H63" s="15" t="inlineStr">
        <is>
          <t>GL6</t>
        </is>
      </c>
      <c r="I63" s="15" t="inlineStr">
        <is>
          <t>이미지 업로드</t>
        </is>
      </c>
      <c r="J63" s="15" t="inlineStr">
        <is>
          <t>200 · 공개 URL 접근 가능</t>
        </is>
      </c>
      <c r="K63" s="15" t="inlineStr">
        <is>
          <t>업로드 200 · 공개 200 · 70bytes</t>
        </is>
      </c>
      <c r="L63" s="20" t="inlineStr">
        <is>
          <t>PASS</t>
        </is>
      </c>
    </row>
    <row r="64" ht="42" customHeight="1">
      <c r="A64" s="21" t="n">
        <v>60</v>
      </c>
      <c r="B64" s="21" t="inlineStr">
        <is>
          <t>TC-060</t>
        </is>
      </c>
      <c r="C64" s="21" t="inlineStr">
        <is>
          <t>A 담당자</t>
        </is>
      </c>
      <c r="D64" s="17" t="inlineStr">
        <is>
          <t>P5 조율(담당자)</t>
        </is>
      </c>
      <c r="E64" s="17" t="inlineStr">
        <is>
          <t>AD-11</t>
        </is>
      </c>
      <c r="F64" s="17" t="inlineStr">
        <is>
          <t>공간관리</t>
        </is>
      </c>
      <c r="G64" s="18" t="inlineStr">
        <is>
          <t>어느 공간에 사진이 있는지 목록에서 확인된다</t>
        </is>
      </c>
      <c r="H64" s="17" t="inlineStr">
        <is>
          <t>위에서 올림</t>
        </is>
      </c>
      <c r="I64" s="17" t="inlineStr">
        <is>
          <t>GET /api/admin-spaces</t>
        </is>
      </c>
      <c r="J64" s="17" t="inlineStr">
        <is>
          <t>photos 에 GL6 포함</t>
        </is>
      </c>
      <c r="K64" s="17" t="inlineStr">
        <is>
          <t>photos=GL6</t>
        </is>
      </c>
      <c r="L64" s="22" t="inlineStr">
        <is>
          <t>PASS</t>
        </is>
      </c>
    </row>
    <row r="65" ht="42" customHeight="1">
      <c r="A65" s="19" t="n">
        <v>61</v>
      </c>
      <c r="B65" s="19" t="inlineStr">
        <is>
          <t>TC-061</t>
        </is>
      </c>
      <c r="C65" s="19" t="inlineStr">
        <is>
          <t>A 담당자</t>
        </is>
      </c>
      <c r="D65" s="15" t="inlineStr">
        <is>
          <t>P5 조율(담당자)</t>
        </is>
      </c>
      <c r="E65" s="15" t="inlineStr">
        <is>
          <t>AD-11</t>
        </is>
      </c>
      <c r="F65" s="15" t="inlineStr">
        <is>
          <t>공간관리</t>
        </is>
      </c>
      <c r="G65" s="16" t="inlineStr">
        <is>
          <t>사진을 내리면 용도별 예시 사진으로 돌아간다</t>
        </is>
      </c>
      <c r="H65" s="15" t="inlineStr">
        <is>
          <t>사진 있음</t>
        </is>
      </c>
      <c r="I65" s="15" t="inlineStr">
        <is>
          <t>DELETE /api/admin-photo</t>
        </is>
      </c>
      <c r="J65" s="15" t="inlineStr">
        <is>
          <t>200 · photos 에서 제외</t>
        </is>
      </c>
      <c r="K65" s="15" t="inlineStr">
        <is>
          <t>HTTP 200 · 잔여=없음</t>
        </is>
      </c>
      <c r="L65" s="20" t="inlineStr">
        <is>
          <t>PASS</t>
        </is>
      </c>
    </row>
    <row r="66" ht="42" customHeight="1">
      <c r="A66" s="21" t="n">
        <v>62</v>
      </c>
      <c r="B66" s="21" t="inlineStr">
        <is>
          <t>TC-062</t>
        </is>
      </c>
      <c r="C66" s="21" t="inlineStr">
        <is>
          <t>A 담당자</t>
        </is>
      </c>
      <c r="D66" s="17" t="inlineStr">
        <is>
          <t>P5 조율(담당자)</t>
        </is>
      </c>
      <c r="E66" s="17" t="inlineStr">
        <is>
          <t>AD-11·SR-12</t>
        </is>
      </c>
      <c r="F66" s="17" t="inlineStr">
        <is>
          <t>공간관리</t>
        </is>
      </c>
      <c r="G66" s="18" t="inlineStr">
        <is>
          <t>수정한 내용이 검색에 반영된다 (재색인 · 캐시 반영 20초 이내)</t>
        </is>
      </c>
      <c r="H66" s="17" t="inlineStr">
        <is>
          <t>특징에 새 단어 추가</t>
        </is>
      </c>
      <c r="I66" s="17" t="inlineStr">
        <is>
          <t>"QA검색어확인" 검색</t>
        </is>
      </c>
      <c r="J66" s="17" t="inlineStr">
        <is>
          <t>GL6 검출 (캐시 TTL 15초 이내)</t>
        </is>
      </c>
      <c r="K66" s="17" t="inlineStr">
        <is>
          <t>결과=GL6 계층=embedding 대기=0초</t>
        </is>
      </c>
      <c r="L66" s="22" t="inlineStr">
        <is>
          <t>PASS</t>
        </is>
      </c>
    </row>
    <row r="67" ht="42" customHeight="1">
      <c r="A67" s="19" t="n">
        <v>63</v>
      </c>
      <c r="B67" s="19" t="inlineStr">
        <is>
          <t>TC-063</t>
        </is>
      </c>
      <c r="C67" s="19" t="inlineStr">
        <is>
          <t>A 담당자</t>
        </is>
      </c>
      <c r="D67" s="15" t="inlineStr">
        <is>
          <t>P5 조율(담당자)</t>
        </is>
      </c>
      <c r="E67" s="15" t="inlineStr">
        <is>
          <t>AD-04</t>
        </is>
      </c>
      <c r="F67" s="15" t="inlineStr">
        <is>
          <t>대관관리</t>
        </is>
      </c>
      <c r="G67" s="16" t="inlineStr">
        <is>
          <t>승인대기 신청 목록과 상태별 건수를 받는다</t>
        </is>
      </c>
      <c r="H67" s="15" t="inlineStr">
        <is>
          <t>담당자 토큰</t>
        </is>
      </c>
      <c r="I67" s="15" t="inlineStr">
        <is>
          <t>GET ?status=승인대기</t>
        </is>
      </c>
      <c r="J67" s="15" t="inlineStr">
        <is>
          <t>200 · reservations 배열 + counts 4종</t>
        </is>
      </c>
      <c r="K67" s="15" t="inlineStr">
        <is>
          <t>status=200 목록=1건 counts={"승인대기":1,"예약확정":0,"반려":0,"취소":3}</t>
        </is>
      </c>
      <c r="L67" s="20" t="inlineStr">
        <is>
          <t>PASS</t>
        </is>
      </c>
    </row>
    <row r="68" ht="42" customHeight="1">
      <c r="A68" s="21" t="n">
        <v>64</v>
      </c>
      <c r="B68" s="21" t="inlineStr">
        <is>
          <t>TC-064</t>
        </is>
      </c>
      <c r="C68" s="21" t="inlineStr">
        <is>
          <t>A 담당자</t>
        </is>
      </c>
      <c r="D68" s="17" t="inlineStr">
        <is>
          <t>미인증 외부인</t>
        </is>
      </c>
      <c r="E68" s="17" t="inlineStr">
        <is>
          <t>AD-04·LG-06</t>
        </is>
      </c>
      <c r="F68" s="17" t="inlineStr">
        <is>
          <t>보안</t>
        </is>
      </c>
      <c r="G68" s="18" t="inlineStr">
        <is>
          <t>토큰 없이 대관 신청 목록을 볼 수 없다</t>
        </is>
      </c>
      <c r="H68" s="17" t="inlineStr">
        <is>
          <t>헤더 없음</t>
        </is>
      </c>
      <c r="I68" s="17" t="inlineStr">
        <is>
          <t>GET /api/admin-reservations</t>
        </is>
      </c>
      <c r="J68" s="17" t="inlineStr">
        <is>
          <t>401 차단</t>
        </is>
      </c>
      <c r="K68" s="17" t="inlineStr">
        <is>
          <t>status=401 {"error":"관리자 인증이 필요합니다."}</t>
        </is>
      </c>
      <c r="L68" s="22" t="inlineStr">
        <is>
          <t>PASS</t>
        </is>
      </c>
    </row>
    <row r="69" ht="42" customHeight="1">
      <c r="A69" s="19" t="n">
        <v>65</v>
      </c>
      <c r="B69" s="19" t="inlineStr">
        <is>
          <t>TC-065</t>
        </is>
      </c>
      <c r="C69" s="19" t="inlineStr">
        <is>
          <t>A 담당자</t>
        </is>
      </c>
      <c r="D69" s="15" t="inlineStr">
        <is>
          <t>권한 오용</t>
        </is>
      </c>
      <c r="E69" s="15" t="inlineStr">
        <is>
          <t>AD-04</t>
        </is>
      </c>
      <c r="F69" s="15" t="inlineStr">
        <is>
          <t>대관관리</t>
        </is>
      </c>
      <c r="G69" s="16" t="inlineStr">
        <is>
          <t>담당자가 신청자 몫인 「취소」로 바꿀 수 없다</t>
        </is>
      </c>
      <c r="H69" s="15" t="inlineStr">
        <is>
          <t>REV-260813-8725 승인대기</t>
        </is>
      </c>
      <c r="I69" s="15" t="inlineStr">
        <is>
          <t>PATCH status=취소</t>
        </is>
      </c>
      <c r="J69" s="15" t="inlineStr">
        <is>
          <t>400 · 허용 상태 안내</t>
        </is>
      </c>
      <c r="K69" s="15" t="inlineStr">
        <is>
          <t>status=400 「승인대기」에서 「취소」로는 바꿀 수 없습니다. 가능한 상태: 예약확정, 반려</t>
        </is>
      </c>
      <c r="L69" s="20" t="inlineStr">
        <is>
          <t>PASS</t>
        </is>
      </c>
    </row>
    <row r="70" ht="42" customHeight="1">
      <c r="A70" s="21" t="n">
        <v>66</v>
      </c>
      <c r="B70" s="21" t="inlineStr">
        <is>
          <t>TC-066</t>
        </is>
      </c>
      <c r="C70" s="21" t="inlineStr">
        <is>
          <t>A 담당자</t>
        </is>
      </c>
      <c r="D70" s="17" t="inlineStr">
        <is>
          <t>P5 조율(담당자)</t>
        </is>
      </c>
      <c r="E70" s="17" t="inlineStr">
        <is>
          <t>AD-04</t>
        </is>
      </c>
      <c r="F70" s="17" t="inlineStr">
        <is>
          <t>입력검증</t>
        </is>
      </c>
      <c r="G70" s="18" t="inlineStr">
        <is>
          <t>반려에는 사유가 반드시 필요하다</t>
        </is>
      </c>
      <c r="H70" s="17" t="inlineStr">
        <is>
          <t>REV-260813-8725 승인대기</t>
        </is>
      </c>
      <c r="I70" s="17" t="inlineStr">
        <is>
          <t>PATCH status=반려 (memo 없음)</t>
        </is>
      </c>
      <c r="J70" s="17" t="inlineStr">
        <is>
          <t>400 · 사유 요구</t>
        </is>
      </c>
      <c r="K70" s="17" t="inlineStr">
        <is>
          <t>status=400 반려 사유를 적어 주세요. 신청자에게 전달됩니다.</t>
        </is>
      </c>
      <c r="L70" s="22" t="inlineStr">
        <is>
          <t>PASS</t>
        </is>
      </c>
    </row>
    <row r="71" ht="42" customHeight="1">
      <c r="A71" s="19" t="n">
        <v>67</v>
      </c>
      <c r="B71" s="19" t="inlineStr">
        <is>
          <t>TC-067</t>
        </is>
      </c>
      <c r="C71" s="19" t="inlineStr">
        <is>
          <t>A 담당자</t>
        </is>
      </c>
      <c r="D71" s="15" t="inlineStr">
        <is>
          <t>P5 조율(담당자)</t>
        </is>
      </c>
      <c r="E71" s="15" t="inlineStr">
        <is>
          <t>AD-04</t>
        </is>
      </c>
      <c r="F71" s="15" t="inlineStr">
        <is>
          <t>대관관리</t>
        </is>
      </c>
      <c r="G71" s="16" t="inlineStr">
        <is>
          <t>승인대기 신청을 예약확정으로 승인한다</t>
        </is>
      </c>
      <c r="H71" s="15" t="inlineStr">
        <is>
          <t>REV-260813-8725 승인대기</t>
        </is>
      </c>
      <c r="I71" s="15" t="inlineStr">
        <is>
          <t>PATCH status=예약확정</t>
        </is>
      </c>
      <c r="J71" s="15" t="inlineStr">
        <is>
          <t>200 · 상태 예약확정</t>
        </is>
      </c>
      <c r="K71" s="15" t="inlineStr">
        <is>
          <t>status=200 결과=예약확정</t>
        </is>
      </c>
      <c r="L71" s="20" t="inlineStr">
        <is>
          <t>PASS</t>
        </is>
      </c>
    </row>
    <row r="72" ht="42" customHeight="1">
      <c r="A72" s="21" t="n">
        <v>68</v>
      </c>
      <c r="B72" s="21" t="inlineStr">
        <is>
          <t>TC-068</t>
        </is>
      </c>
      <c r="C72" s="21" t="inlineStr">
        <is>
          <t>A 담당자</t>
        </is>
      </c>
      <c r="D72" s="17" t="inlineStr">
        <is>
          <t>P5 조율(담당자)</t>
        </is>
      </c>
      <c r="E72" s="17" t="inlineStr">
        <is>
          <t>AD-04</t>
        </is>
      </c>
      <c r="F72" s="17" t="inlineStr">
        <is>
          <t>대관관리</t>
        </is>
      </c>
      <c r="G72" s="18" t="inlineStr">
        <is>
          <t>확정한 뒤에도 사유를 달아 반려로 되돌릴 수 있다</t>
        </is>
      </c>
      <c r="H72" s="17" t="inlineStr">
        <is>
          <t>REV-260813-8725 예약확정</t>
        </is>
      </c>
      <c r="I72" s="17" t="inlineStr">
        <is>
          <t>PATCH status=반려 + memo</t>
        </is>
      </c>
      <c r="J72" s="17" t="inlineStr">
        <is>
          <t>200 · 상태 반려</t>
        </is>
      </c>
      <c r="K72" s="17" t="inlineStr">
        <is>
          <t>status=200 결과=반려</t>
        </is>
      </c>
      <c r="L72" s="22" t="inlineStr">
        <is>
          <t>PASS</t>
        </is>
      </c>
    </row>
    <row r="73" ht="42" customHeight="1">
      <c r="A73" s="19" t="n">
        <v>69</v>
      </c>
      <c r="B73" s="19" t="inlineStr">
        <is>
          <t>TC-069</t>
        </is>
      </c>
      <c r="C73" s="19" t="inlineStr">
        <is>
          <t>A 담당자</t>
        </is>
      </c>
      <c r="D73" s="15" t="inlineStr">
        <is>
          <t>P5 조율(담당자)</t>
        </is>
      </c>
      <c r="E73" s="15" t="inlineStr">
        <is>
          <t>AD-15</t>
        </is>
      </c>
      <c r="F73" s="15" t="inlineStr">
        <is>
          <t>계정관리</t>
        </is>
      </c>
      <c r="G73" s="16" t="inlineStr">
        <is>
          <t>관리자 명단과 본인 권한을 조회한다</t>
        </is>
      </c>
      <c r="H73" s="15" t="inlineStr">
        <is>
          <t>admin_users 테이블 생성됨</t>
        </is>
      </c>
      <c r="I73" s="15" t="inlineStr">
        <is>
          <t>GET /api/admin-users</t>
        </is>
      </c>
      <c r="J73" s="15" t="inlineStr">
        <is>
          <t>200 · admins 배열 + me.role</t>
        </is>
      </c>
      <c r="K73" s="15" t="inlineStr">
        <is>
          <t>status=503 (마이그레이션 미실행) 관리자 테이블(admin_users)이 아직 만들어지지 않았습니다. supabase/migrations/0002_admin.sql 을 실행해 주세요.</t>
        </is>
      </c>
      <c r="L73" s="23" t="inlineStr">
        <is>
          <t>FAIL</t>
        </is>
      </c>
    </row>
    <row r="74" ht="42" customHeight="1">
      <c r="A74" s="21" t="n">
        <v>70</v>
      </c>
      <c r="B74" s="21" t="inlineStr">
        <is>
          <t>TC-070</t>
        </is>
      </c>
      <c r="C74" s="21" t="inlineStr">
        <is>
          <t>A 담당자</t>
        </is>
      </c>
      <c r="D74" s="17" t="inlineStr">
        <is>
          <t>미인증 외부인</t>
        </is>
      </c>
      <c r="E74" s="17" t="inlineStr">
        <is>
          <t>AD-15·LG-06</t>
        </is>
      </c>
      <c r="F74" s="17" t="inlineStr">
        <is>
          <t>보안</t>
        </is>
      </c>
      <c r="G74" s="18" t="inlineStr">
        <is>
          <t>토큰 없이 관리자 명단을 볼 수 없다</t>
        </is>
      </c>
      <c r="H74" s="17" t="inlineStr">
        <is>
          <t>헤더 없음</t>
        </is>
      </c>
      <c r="I74" s="17" t="inlineStr">
        <is>
          <t>GET /api/admin-users</t>
        </is>
      </c>
      <c r="J74" s="17" t="inlineStr">
        <is>
          <t>401 차단</t>
        </is>
      </c>
      <c r="K74" s="17" t="inlineStr">
        <is>
          <t>status=401 {"error":"관리자 인증이 필요합니다."}</t>
        </is>
      </c>
      <c r="L74" s="22" t="inlineStr">
        <is>
          <t>PASS</t>
        </is>
      </c>
    </row>
    <row r="75" ht="42" customHeight="1">
      <c r="A75" s="19" t="n">
        <v>71</v>
      </c>
      <c r="B75" s="19" t="inlineStr">
        <is>
          <t>TC-071</t>
        </is>
      </c>
      <c r="C75" s="19" t="inlineStr">
        <is>
          <t>A 담당자</t>
        </is>
      </c>
      <c r="D75" s="15" t="inlineStr">
        <is>
          <t>P5 조율(담당자)</t>
        </is>
      </c>
      <c r="E75" s="15" t="inlineStr">
        <is>
          <t>AD-15</t>
        </is>
      </c>
      <c r="F75" s="15" t="inlineStr">
        <is>
          <t>입력검증</t>
        </is>
      </c>
      <c r="G75" s="16" t="inlineStr">
        <is>
          <t>형식이 잘못된 이메일은 관리자로 등록되지 않는다</t>
        </is>
      </c>
      <c r="H75" s="15" t="inlineStr">
        <is>
          <t>마스터 권한</t>
        </is>
      </c>
      <c r="I75" s="15" t="inlineStr">
        <is>
          <t>POST email=골뱅이없는주소</t>
        </is>
      </c>
      <c r="J75" s="15" t="inlineStr">
        <is>
          <t>400 · 형식 안내</t>
        </is>
      </c>
      <c r="K75" s="15" t="inlineStr">
        <is>
          <t>status=400 이메일 형식을 확인해 주세요.</t>
        </is>
      </c>
      <c r="L75" s="20" t="inlineStr">
        <is>
          <t>PASS</t>
        </is>
      </c>
    </row>
    <row r="76" ht="42" customHeight="1">
      <c r="A76" s="21" t="n">
        <v>72</v>
      </c>
      <c r="B76" s="21" t="inlineStr">
        <is>
          <t>TC-072</t>
        </is>
      </c>
      <c r="C76" s="21" t="inlineStr">
        <is>
          <t>S 시스템</t>
        </is>
      </c>
      <c r="D76" s="17" t="inlineStr">
        <is>
          <t>시스템(배치)</t>
        </is>
      </c>
      <c r="E76" s="17" t="inlineStr">
        <is>
          <t>SR-03</t>
        </is>
      </c>
      <c r="F76" s="17" t="inlineStr">
        <is>
          <t>데이터</t>
        </is>
      </c>
      <c r="G76" s="18" t="inlineStr">
        <is>
          <t>모든 공간에 임베딩 벡터가 색인되어 있다</t>
        </is>
      </c>
      <c r="H76" s="17" t="inlineStr">
        <is>
          <t>build-embeddings 실행됨</t>
        </is>
      </c>
      <c r="I76" s="17" t="inlineStr">
        <is>
          <t>spaces.embedding</t>
        </is>
      </c>
      <c r="J76" s="17" t="inlineStr">
        <is>
          <t>11건 전량 보유</t>
        </is>
      </c>
      <c r="K76" s="17" t="inlineStr">
        <is>
          <t>11/11건</t>
        </is>
      </c>
      <c r="L76" s="22" t="inlineStr">
        <is>
          <t>PASS</t>
        </is>
      </c>
    </row>
    <row r="77" ht="42" customHeight="1">
      <c r="A77" s="19" t="n">
        <v>73</v>
      </c>
      <c r="B77" s="19" t="inlineStr">
        <is>
          <t>TC-073</t>
        </is>
      </c>
      <c r="C77" s="19" t="inlineStr">
        <is>
          <t>S 시스템</t>
        </is>
      </c>
      <c r="D77" s="15" t="inlineStr">
        <is>
          <t>시스템(배치)</t>
        </is>
      </c>
      <c r="E77" s="15" t="inlineStr">
        <is>
          <t>LG-04</t>
        </is>
      </c>
      <c r="F77" s="15" t="inlineStr">
        <is>
          <t>개인정보</t>
        </is>
      </c>
      <c r="G77" s="16" t="inlineStr">
        <is>
          <t>검색 원문에 연락처가 그대로 저장되지 않는다 (마스킹)</t>
        </is>
      </c>
      <c r="H77" s="15" t="inlineStr">
        <is>
          <t>로그 누적</t>
        </is>
      </c>
      <c r="I77" s="15" t="inlineStr">
        <is>
          <t>search_logs.raw_query 전수 검사</t>
        </is>
      </c>
      <c r="J77" s="15" t="inlineStr">
        <is>
          <t>전화·이메일 패턴 0건</t>
        </is>
      </c>
      <c r="K77" s="15" t="inlineStr">
        <is>
          <t>50건 중 노출 0건</t>
        </is>
      </c>
      <c r="L77" s="20" t="inlineStr">
        <is>
          <t>PASS</t>
        </is>
      </c>
    </row>
    <row r="78" ht="42" customHeight="1">
      <c r="A78" s="21" t="n">
        <v>74</v>
      </c>
      <c r="B78" s="21" t="inlineStr">
        <is>
          <t>TC-074</t>
        </is>
      </c>
      <c r="C78" s="21" t="inlineStr">
        <is>
          <t>S 시스템</t>
        </is>
      </c>
      <c r="D78" s="17" t="inlineStr">
        <is>
          <t>외부 공격자</t>
        </is>
      </c>
      <c r="E78" s="17" t="inlineStr">
        <is>
          <t>RLS</t>
        </is>
      </c>
      <c r="F78" s="17" t="inlineStr">
        <is>
          <t>보안</t>
        </is>
      </c>
      <c r="G78" s="18" t="inlineStr">
        <is>
          <t>공개키(anon)로는 로그 테이블을 읽을 수 없다</t>
        </is>
      </c>
      <c r="H78" s="17" t="inlineStr">
        <is>
          <t>RLS 활성</t>
        </is>
      </c>
      <c r="I78" s="17" t="inlineStr">
        <is>
          <t>anon 키로 search_logs SELECT</t>
        </is>
      </c>
      <c r="J78" s="17" t="inlineStr">
        <is>
          <t>차단 (또는 0건)</t>
        </is>
      </c>
      <c r="K78" s="17" t="inlineStr">
        <is>
          <t>차단됨: permission denied for table search_logs</t>
        </is>
      </c>
      <c r="L78" s="22" t="inlineStr">
        <is>
          <t>PASS</t>
        </is>
      </c>
    </row>
    <row r="79" ht="42" customHeight="1">
      <c r="A79" s="19" t="n">
        <v>75</v>
      </c>
      <c r="B79" s="19" t="inlineStr">
        <is>
          <t>TC-075</t>
        </is>
      </c>
      <c r="C79" s="19" t="inlineStr">
        <is>
          <t>S 시스템</t>
        </is>
      </c>
      <c r="D79" s="15" t="inlineStr">
        <is>
          <t>외부 공격자</t>
        </is>
      </c>
      <c r="E79" s="15" t="inlineStr">
        <is>
          <t>RLS</t>
        </is>
      </c>
      <c r="F79" s="15" t="inlineStr">
        <is>
          <t>보안</t>
        </is>
      </c>
      <c r="G79" s="16" t="inlineStr">
        <is>
          <t>공간 정보는 공개 조회가 허용된다 (의도된 공개)</t>
        </is>
      </c>
      <c r="H79" s="15" t="inlineStr">
        <is>
          <t>RLS SELECT 정책</t>
        </is>
      </c>
      <c r="I79" s="15" t="inlineStr">
        <is>
          <t>anon 키로 spaces SELECT</t>
        </is>
      </c>
      <c r="J79" s="15" t="inlineStr">
        <is>
          <t>조회 가능</t>
        </is>
      </c>
      <c r="K79" s="15" t="inlineStr">
        <is>
          <t>11건 조회</t>
        </is>
      </c>
      <c r="L79" s="20" t="inlineStr">
        <is>
          <t>PASS</t>
        </is>
      </c>
    </row>
    <row r="80" ht="42" customHeight="1">
      <c r="A80" s="21" t="n">
        <v>76</v>
      </c>
      <c r="B80" s="21" t="inlineStr">
        <is>
          <t>TC-076</t>
        </is>
      </c>
      <c r="C80" s="21" t="inlineStr">
        <is>
          <t>S 시스템</t>
        </is>
      </c>
      <c r="D80" s="17" t="inlineStr">
        <is>
          <t>외부 공격자</t>
        </is>
      </c>
      <c r="E80" s="17" t="inlineStr">
        <is>
          <t>NF-03</t>
        </is>
      </c>
      <c r="F80" s="17" t="inlineStr">
        <is>
          <t>보안</t>
        </is>
      </c>
      <c r="G80" s="18" t="inlineStr">
        <is>
          <t>브라우저 번들에 Gemini 키·service_role 키가 없다</t>
        </is>
      </c>
      <c r="H80" s="17" t="inlineStr">
        <is>
          <t>npm run build 산출물</t>
        </is>
      </c>
      <c r="I80" s="17" t="inlineStr">
        <is>
          <t>dist/assets/*.js (567KB)</t>
        </is>
      </c>
      <c r="J80" s="17" t="inlineStr">
        <is>
          <t>API 키 문자열 0건</t>
        </is>
      </c>
      <c r="K80" s="17" t="inlineStr">
        <is>
          <t>Gemini키=없음 · secret키=없음 (실제 키 값 대조)</t>
        </is>
      </c>
      <c r="L80" s="22" t="inlineStr">
        <is>
          <t>PASS</t>
        </is>
      </c>
    </row>
    <row r="81" ht="42" customHeight="1">
      <c r="A81" s="19" t="n">
        <v>77</v>
      </c>
      <c r="B81" s="19" t="inlineStr">
        <is>
          <t>TC-077</t>
        </is>
      </c>
      <c r="C81" s="19" t="inlineStr">
        <is>
          <t>S 시스템</t>
        </is>
      </c>
      <c r="D81" s="15" t="inlineStr">
        <is>
          <t>외부 공격자</t>
        </is>
      </c>
      <c r="E81" s="15" t="inlineStr">
        <is>
          <t>NF-05</t>
        </is>
      </c>
      <c r="F81" s="15" t="inlineStr">
        <is>
          <t>보안</t>
        </is>
      </c>
      <c r="G81" s="16" t="inlineStr">
        <is>
          <t>짧은 시간에 몰아치는 요청은 차단된다 (비용 방어)</t>
        </is>
      </c>
      <c r="H81" s="15" t="inlineStr">
        <is>
          <t>분당 20회 제한 · 순차 호출</t>
        </is>
      </c>
      <c r="I81" s="15" t="inlineStr">
        <is>
          <t>25회 연속 호출</t>
        </is>
      </c>
      <c r="J81" s="15" t="inlineStr">
        <is>
          <t>20회 통과 후 429 반환</t>
        </is>
      </c>
      <c r="K81" s="15" t="inlineStr">
        <is>
          <t>25회 중 통과=19 차단=6 (17906ms)</t>
        </is>
      </c>
      <c r="L81" s="20" t="inlineStr">
        <is>
          <t>PASS</t>
        </is>
      </c>
    </row>
  </sheetData>
  <autoFilter ref="A4:L81"/>
  <mergeCells count="2">
    <mergeCell ref="A2:L2"/>
    <mergeCell ref="A1:L1"/>
  </mergeCells>
  <printOptions horizontalCentered="0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2" customWidth="1" min="4" max="4"/>
    <col width="52" customWidth="1" min="5" max="5"/>
  </cols>
  <sheetData>
    <row r="1" ht="26" customHeight="1">
      <c r="A1" s="1" t="inlineStr">
        <is>
          <t>기능 ID별 검증 커버리지</t>
        </is>
      </c>
    </row>
    <row r="2">
      <c r="A2" s="2" t="inlineStr">
        <is>
          <t>기능정의서의 ID가 어느 테스트로 검증됐는지 대조한다. 미검증 항목은 사유를 밝힌다.</t>
        </is>
      </c>
    </row>
    <row r="4" ht="26" customHeight="1">
      <c r="A4" s="6" t="inlineStr">
        <is>
          <t>기능 ID</t>
        </is>
      </c>
      <c r="B4" s="6" t="inlineStr">
        <is>
          <t>기능 영역</t>
        </is>
      </c>
      <c r="C4" s="6" t="inlineStr">
        <is>
          <t>검증 TC</t>
        </is>
      </c>
      <c r="D4" s="6" t="inlineStr">
        <is>
          <t>검증 방식</t>
        </is>
      </c>
      <c r="E4" s="6" t="inlineStr">
        <is>
          <t>비고</t>
        </is>
      </c>
    </row>
    <row r="5">
      <c r="A5" s="16" t="inlineStr">
        <is>
          <t>AD-01</t>
        </is>
      </c>
      <c r="B5" s="15" t="inlineStr">
        <is>
          <t>담당자화면</t>
        </is>
      </c>
      <c r="C5" s="15" t="inlineStr">
        <is>
          <t>TC-038, TC-041</t>
        </is>
      </c>
      <c r="D5" s="15" t="inlineStr">
        <is>
          <t>API 실호출 / DB 검증</t>
        </is>
      </c>
      <c r="E5" s="15" t="inlineStr"/>
    </row>
    <row r="6">
      <c r="A6" s="16" t="inlineStr">
        <is>
          <t>AD-02</t>
        </is>
      </c>
      <c r="B6" s="15" t="inlineStr">
        <is>
          <t>담당자화면</t>
        </is>
      </c>
      <c r="C6" s="15" t="inlineStr">
        <is>
          <t>TC-042</t>
        </is>
      </c>
      <c r="D6" s="15" t="inlineStr">
        <is>
          <t>API 실호출 / DB 검증</t>
        </is>
      </c>
      <c r="E6" s="15" t="inlineStr"/>
    </row>
    <row r="7">
      <c r="A7" s="16" t="inlineStr">
        <is>
          <t>AD-03</t>
        </is>
      </c>
      <c r="B7" s="15" t="inlineStr">
        <is>
          <t>담당자화면</t>
        </is>
      </c>
      <c r="C7" s="15" t="inlineStr">
        <is>
          <t>TC-043</t>
        </is>
      </c>
      <c r="D7" s="15" t="inlineStr">
        <is>
          <t>API 실호출 / DB 검증</t>
        </is>
      </c>
      <c r="E7" s="15" t="inlineStr"/>
    </row>
    <row r="8">
      <c r="A8" s="16" t="inlineStr">
        <is>
          <t>AD-04</t>
        </is>
      </c>
      <c r="B8" s="15" t="inlineStr">
        <is>
          <t>담당자화면</t>
        </is>
      </c>
      <c r="C8" s="15" t="inlineStr">
        <is>
          <t>TC-047, TC-063, TC-064, TC-065, TC-066, TC-067, TC-068</t>
        </is>
      </c>
      <c r="D8" s="15" t="inlineStr">
        <is>
          <t>API 실호출 / DB 검증</t>
        </is>
      </c>
      <c r="E8" s="15" t="inlineStr"/>
    </row>
    <row r="9">
      <c r="A9" s="16" t="inlineStr">
        <is>
          <t>AD-11</t>
        </is>
      </c>
      <c r="B9" s="15" t="inlineStr">
        <is>
          <t>담당자화면</t>
        </is>
      </c>
      <c r="C9" s="15" t="inlineStr">
        <is>
          <t>TC-049, TC-050, TC-051, TC-052, TC-053, TC-054, TC-055, TC-056, TC-057, TC-058, TC-059, TC-060, TC-061, TC-062</t>
        </is>
      </c>
      <c r="D9" s="15" t="inlineStr">
        <is>
          <t>API 실호출 / DB 검증</t>
        </is>
      </c>
      <c r="E9" s="15" t="inlineStr"/>
    </row>
    <row r="10">
      <c r="A10" s="16" t="inlineStr">
        <is>
          <t>AD-13</t>
        </is>
      </c>
      <c r="B10" s="15" t="inlineStr">
        <is>
          <t>담당자화면</t>
        </is>
      </c>
      <c r="C10" s="15" t="inlineStr">
        <is>
          <t>TC-045</t>
        </is>
      </c>
      <c r="D10" s="15" t="inlineStr">
        <is>
          <t>API 실호출 / DB 검증</t>
        </is>
      </c>
      <c r="E10" s="15" t="inlineStr"/>
    </row>
    <row r="11">
      <c r="A11" s="16" t="inlineStr">
        <is>
          <t>AD-14</t>
        </is>
      </c>
      <c r="B11" s="15" t="inlineStr">
        <is>
          <t>담당자화면</t>
        </is>
      </c>
      <c r="C11" s="15" t="inlineStr">
        <is>
          <t>TC-044</t>
        </is>
      </c>
      <c r="D11" s="15" t="inlineStr">
        <is>
          <t>API 실호출 / DB 검증</t>
        </is>
      </c>
      <c r="E11" s="15" t="inlineStr"/>
    </row>
    <row r="12">
      <c r="A12" s="16" t="inlineStr">
        <is>
          <t>AD-15</t>
        </is>
      </c>
      <c r="B12" s="15" t="inlineStr">
        <is>
          <t>담당자화면</t>
        </is>
      </c>
      <c r="C12" s="15" t="inlineStr">
        <is>
          <t>TC-069, TC-070, TC-071</t>
        </is>
      </c>
      <c r="D12" s="15" t="inlineStr">
        <is>
          <t>API 실호출 / DB 검증</t>
        </is>
      </c>
      <c r="E12" s="15" t="inlineStr"/>
    </row>
    <row r="13">
      <c r="A13" s="16" t="inlineStr">
        <is>
          <t>AU-01</t>
        </is>
      </c>
      <c r="B13" s="15" t="inlineStr">
        <is>
          <t>인증</t>
        </is>
      </c>
      <c r="C13" s="15" t="inlineStr">
        <is>
          <t>TC-016, TC-017, TC-018, TC-019, TC-020, TC-039</t>
        </is>
      </c>
      <c r="D13" s="15" t="inlineStr">
        <is>
          <t>API 실호출 / DB 검증</t>
        </is>
      </c>
      <c r="E13" s="15" t="inlineStr"/>
    </row>
    <row r="14">
      <c r="A14" s="16" t="inlineStr">
        <is>
          <t>AU-02</t>
        </is>
      </c>
      <c r="B14" s="15" t="inlineStr">
        <is>
          <t>인증</t>
        </is>
      </c>
      <c r="C14" s="15" t="inlineStr">
        <is>
          <t>TC-021</t>
        </is>
      </c>
      <c r="D14" s="15" t="inlineStr">
        <is>
          <t>API 실호출 / DB 검증</t>
        </is>
      </c>
      <c r="E14" s="15" t="inlineStr"/>
    </row>
    <row r="15">
      <c r="A15" s="16" t="inlineStr">
        <is>
          <t>BK-01</t>
        </is>
      </c>
      <c r="B15" s="15" t="inlineStr">
        <is>
          <t>대관신청</t>
        </is>
      </c>
      <c r="C15" s="15" t="inlineStr">
        <is>
          <t>TC-023, TC-026, TC-028</t>
        </is>
      </c>
      <c r="D15" s="15" t="inlineStr">
        <is>
          <t>API 실호출 / DB 검증</t>
        </is>
      </c>
      <c r="E15" s="15" t="inlineStr"/>
    </row>
    <row r="16">
      <c r="A16" s="16" t="inlineStr">
        <is>
          <t>BK-02</t>
        </is>
      </c>
      <c r="B16" s="15" t="inlineStr">
        <is>
          <t>대관신청</t>
        </is>
      </c>
      <c r="C16" s="15" t="inlineStr">
        <is>
          <t>TC-029</t>
        </is>
      </c>
      <c r="D16" s="15" t="inlineStr">
        <is>
          <t>API 실호출 / DB 검증</t>
        </is>
      </c>
      <c r="E16" s="15" t="inlineStr"/>
    </row>
    <row r="17">
      <c r="A17" s="16" t="inlineStr">
        <is>
          <t>BK-03</t>
        </is>
      </c>
      <c r="B17" s="15" t="inlineStr">
        <is>
          <t>대관신청</t>
        </is>
      </c>
      <c r="C17" s="15" t="inlineStr">
        <is>
          <t>TC-025</t>
        </is>
      </c>
      <c r="D17" s="15" t="inlineStr">
        <is>
          <t>API 실호출 / DB 검증</t>
        </is>
      </c>
      <c r="E17" s="15" t="inlineStr"/>
    </row>
    <row r="18">
      <c r="A18" s="16" t="inlineStr">
        <is>
          <t>BK-04</t>
        </is>
      </c>
      <c r="B18" s="15" t="inlineStr">
        <is>
          <t>대관신청</t>
        </is>
      </c>
      <c r="C18" s="15" t="inlineStr">
        <is>
          <t>TC-027</t>
        </is>
      </c>
      <c r="D18" s="15" t="inlineStr">
        <is>
          <t>API 실호출 / DB 검증</t>
        </is>
      </c>
      <c r="E18" s="15" t="inlineStr"/>
    </row>
    <row r="19">
      <c r="A19" s="16" t="inlineStr">
        <is>
          <t>BK-05</t>
        </is>
      </c>
      <c r="B19" s="15" t="inlineStr">
        <is>
          <t>대관신청</t>
        </is>
      </c>
      <c r="C19" s="15" t="inlineStr">
        <is>
          <t>TC-031, TC-032</t>
        </is>
      </c>
      <c r="D19" s="15" t="inlineStr">
        <is>
          <t>API 실호출 / DB 검증</t>
        </is>
      </c>
      <c r="E19" s="15" t="inlineStr"/>
    </row>
    <row r="20">
      <c r="A20" s="16" t="inlineStr">
        <is>
          <t>BK-06</t>
        </is>
      </c>
      <c r="B20" s="15" t="inlineStr">
        <is>
          <t>대관신청</t>
        </is>
      </c>
      <c r="C20" s="15" t="inlineStr">
        <is>
          <t>TC-022, TC-030</t>
        </is>
      </c>
      <c r="D20" s="15" t="inlineStr">
        <is>
          <t>API 실호출 / DB 검증</t>
        </is>
      </c>
      <c r="E20" s="15" t="inlineStr"/>
    </row>
    <row r="21">
      <c r="A21" s="16" t="inlineStr">
        <is>
          <t>BK-07</t>
        </is>
      </c>
      <c r="B21" s="15" t="inlineStr">
        <is>
          <t>대관신청</t>
        </is>
      </c>
      <c r="C21" s="15" t="inlineStr">
        <is>
          <t>TC-024</t>
        </is>
      </c>
      <c r="D21" s="15" t="inlineStr">
        <is>
          <t>API 실호출 / DB 검증</t>
        </is>
      </c>
      <c r="E21" s="15" t="inlineStr"/>
    </row>
    <row r="22">
      <c r="A22" s="16" t="inlineStr">
        <is>
          <t>BK-08</t>
        </is>
      </c>
      <c r="B22" s="15" t="inlineStr">
        <is>
          <t>대관신청</t>
        </is>
      </c>
      <c r="C22" s="15" t="inlineStr">
        <is>
          <t>TC-053</t>
        </is>
      </c>
      <c r="D22" s="15" t="inlineStr">
        <is>
          <t>API 실호출 / DB 검증</t>
        </is>
      </c>
      <c r="E22" s="15" t="inlineStr"/>
    </row>
    <row r="23">
      <c r="A23" s="16" t="inlineStr">
        <is>
          <t>G1</t>
        </is>
      </c>
      <c r="B23" s="15" t="inlineStr">
        <is>
          <t>-</t>
        </is>
      </c>
      <c r="C23" s="15" t="inlineStr">
        <is>
          <t>TC-035</t>
        </is>
      </c>
      <c r="D23" s="15" t="inlineStr">
        <is>
          <t>API 실호출 / DB 검증</t>
        </is>
      </c>
      <c r="E23" s="15" t="inlineStr"/>
    </row>
    <row r="24">
      <c r="A24" s="16" t="inlineStr">
        <is>
          <t>G10</t>
        </is>
      </c>
      <c r="B24" s="15" t="inlineStr">
        <is>
          <t>-</t>
        </is>
      </c>
      <c r="C24" s="15" t="inlineStr">
        <is>
          <t>TC-037, TC-039, TC-040</t>
        </is>
      </c>
      <c r="D24" s="15" t="inlineStr">
        <is>
          <t>API 실호출 / DB 검증</t>
        </is>
      </c>
      <c r="E24" s="15" t="inlineStr"/>
    </row>
    <row r="25">
      <c r="A25" s="16" t="inlineStr">
        <is>
          <t>LG-04</t>
        </is>
      </c>
      <c r="B25" s="15" t="inlineStr">
        <is>
          <t>로그·개인정보</t>
        </is>
      </c>
      <c r="C25" s="15" t="inlineStr">
        <is>
          <t>TC-073</t>
        </is>
      </c>
      <c r="D25" s="15" t="inlineStr">
        <is>
          <t>API 실호출 / DB 검증</t>
        </is>
      </c>
      <c r="E25" s="15" t="inlineStr"/>
    </row>
    <row r="26">
      <c r="A26" s="16" t="inlineStr">
        <is>
          <t>LG-06</t>
        </is>
      </c>
      <c r="B26" s="15" t="inlineStr">
        <is>
          <t>로그·개인정보</t>
        </is>
      </c>
      <c r="C26" s="15" t="inlineStr">
        <is>
          <t>TC-015, TC-046, TC-048, TC-064, TC-070</t>
        </is>
      </c>
      <c r="D26" s="15" t="inlineStr">
        <is>
          <t>API 실호출 / DB 검증</t>
        </is>
      </c>
      <c r="E26" s="15" t="inlineStr"/>
    </row>
    <row r="27">
      <c r="A27" s="16" t="inlineStr">
        <is>
          <t>NF-01</t>
        </is>
      </c>
      <c r="B27" s="15" t="inlineStr">
        <is>
          <t>비기능</t>
        </is>
      </c>
      <c r="C27" s="15" t="inlineStr">
        <is>
          <t>TC-003</t>
        </is>
      </c>
      <c r="D27" s="15" t="inlineStr">
        <is>
          <t>API 실호출 / DB 검증</t>
        </is>
      </c>
      <c r="E27" s="15" t="inlineStr"/>
    </row>
    <row r="28">
      <c r="A28" s="16" t="inlineStr">
        <is>
          <t>NF-03</t>
        </is>
      </c>
      <c r="B28" s="15" t="inlineStr">
        <is>
          <t>비기능</t>
        </is>
      </c>
      <c r="C28" s="15" t="inlineStr">
        <is>
          <t>TC-076</t>
        </is>
      </c>
      <c r="D28" s="15" t="inlineStr">
        <is>
          <t>API 실호출 / DB 검증</t>
        </is>
      </c>
      <c r="E28" s="15" t="inlineStr"/>
    </row>
    <row r="29">
      <c r="A29" s="16" t="inlineStr">
        <is>
          <t>NF-05</t>
        </is>
      </c>
      <c r="B29" s="15" t="inlineStr">
        <is>
          <t>비기능</t>
        </is>
      </c>
      <c r="C29" s="15" t="inlineStr">
        <is>
          <t>TC-077</t>
        </is>
      </c>
      <c r="D29" s="15" t="inlineStr">
        <is>
          <t>API 실호출 / DB 검증</t>
        </is>
      </c>
      <c r="E29" s="15" t="inlineStr"/>
    </row>
    <row r="30">
      <c r="A30" s="16" t="inlineStr">
        <is>
          <t>RLS</t>
        </is>
      </c>
      <c r="B30" s="15" t="inlineStr">
        <is>
          <t>DB 권한</t>
        </is>
      </c>
      <c r="C30" s="15" t="inlineStr">
        <is>
          <t>TC-032, TC-074, TC-075</t>
        </is>
      </c>
      <c r="D30" s="15" t="inlineStr">
        <is>
          <t>API 실호출 / DB 검증</t>
        </is>
      </c>
      <c r="E30" s="15" t="inlineStr"/>
    </row>
    <row r="31">
      <c r="A31" s="16" t="inlineStr">
        <is>
          <t>SP-02</t>
        </is>
      </c>
      <c r="B31" s="15" t="inlineStr">
        <is>
          <t>공간정보</t>
        </is>
      </c>
      <c r="C31" s="15" t="inlineStr">
        <is>
          <t>TC-037</t>
        </is>
      </c>
      <c r="D31" s="15" t="inlineStr">
        <is>
          <t>API 실호출 / DB 검증</t>
        </is>
      </c>
      <c r="E31" s="15" t="inlineStr"/>
    </row>
    <row r="32">
      <c r="A32" s="16" t="inlineStr">
        <is>
          <t>SP-04</t>
        </is>
      </c>
      <c r="B32" s="15" t="inlineStr">
        <is>
          <t>공간정보</t>
        </is>
      </c>
      <c r="C32" s="15" t="inlineStr">
        <is>
          <t>TC-055</t>
        </is>
      </c>
      <c r="D32" s="15" t="inlineStr">
        <is>
          <t>API 실호출 / DB 검증</t>
        </is>
      </c>
      <c r="E32" s="15" t="inlineStr"/>
    </row>
    <row r="33">
      <c r="A33" s="16" t="inlineStr">
        <is>
          <t>SP-07</t>
        </is>
      </c>
      <c r="B33" s="15" t="inlineStr">
        <is>
          <t>공간정보</t>
        </is>
      </c>
      <c r="C33" s="15" t="inlineStr">
        <is>
          <t>TC-033, TC-034, TC-035, TC-036, TC-040</t>
        </is>
      </c>
      <c r="D33" s="15" t="inlineStr">
        <is>
          <t>API 실호출 / DB 검증</t>
        </is>
      </c>
      <c r="E33" s="15" t="inlineStr"/>
    </row>
    <row r="34">
      <c r="A34" s="16" t="inlineStr">
        <is>
          <t>SR-01</t>
        </is>
      </c>
      <c r="B34" s="15" t="inlineStr">
        <is>
          <t>검색</t>
        </is>
      </c>
      <c r="C34" s="15" t="inlineStr">
        <is>
          <t>TC-001</t>
        </is>
      </c>
      <c r="D34" s="15" t="inlineStr">
        <is>
          <t>API 실호출 / DB 검증</t>
        </is>
      </c>
      <c r="E34" s="15" t="inlineStr"/>
    </row>
    <row r="35">
      <c r="A35" s="16" t="inlineStr">
        <is>
          <t>SR-02</t>
        </is>
      </c>
      <c r="B35" s="15" t="inlineStr">
        <is>
          <t>검색</t>
        </is>
      </c>
      <c r="C35" s="15" t="inlineStr">
        <is>
          <t>TC-001</t>
        </is>
      </c>
      <c r="D35" s="15" t="inlineStr">
        <is>
          <t>API 실호출 / DB 검증</t>
        </is>
      </c>
      <c r="E35" s="15" t="inlineStr"/>
    </row>
    <row r="36">
      <c r="A36" s="16" t="inlineStr">
        <is>
          <t>SR-03</t>
        </is>
      </c>
      <c r="B36" s="15" t="inlineStr">
        <is>
          <t>검색</t>
        </is>
      </c>
      <c r="C36" s="15" t="inlineStr">
        <is>
          <t>TC-007, TC-072</t>
        </is>
      </c>
      <c r="D36" s="15" t="inlineStr">
        <is>
          <t>API 실호출 / DB 검증</t>
        </is>
      </c>
      <c r="E36" s="15" t="inlineStr"/>
    </row>
    <row r="37">
      <c r="A37" s="16" t="inlineStr">
        <is>
          <t>SR-04</t>
        </is>
      </c>
      <c r="B37" s="15" t="inlineStr">
        <is>
          <t>검색</t>
        </is>
      </c>
      <c r="C37" s="15" t="inlineStr">
        <is>
          <t>TC-004, TC-005</t>
        </is>
      </c>
      <c r="D37" s="15" t="inlineStr">
        <is>
          <t>API 실호출 / DB 검증</t>
        </is>
      </c>
      <c r="E37" s="15" t="inlineStr"/>
    </row>
    <row r="38">
      <c r="A38" s="16" t="inlineStr">
        <is>
          <t>SR-05</t>
        </is>
      </c>
      <c r="B38" s="15" t="inlineStr">
        <is>
          <t>검색</t>
        </is>
      </c>
      <c r="C38" s="15" t="inlineStr">
        <is>
          <t>TC-008</t>
        </is>
      </c>
      <c r="D38" s="15" t="inlineStr">
        <is>
          <t>API 실호출 / DB 검증</t>
        </is>
      </c>
      <c r="E38" s="15" t="inlineStr"/>
    </row>
    <row r="39">
      <c r="A39" s="16" t="inlineStr">
        <is>
          <t>SR-09</t>
        </is>
      </c>
      <c r="B39" s="15" t="inlineStr">
        <is>
          <t>검색</t>
        </is>
      </c>
      <c r="C39" s="15" t="inlineStr">
        <is>
          <t>TC-010</t>
        </is>
      </c>
      <c r="D39" s="15" t="inlineStr">
        <is>
          <t>API 실호출 / DB 검증</t>
        </is>
      </c>
      <c r="E39" s="15" t="inlineStr"/>
    </row>
    <row r="40">
      <c r="A40" s="16" t="inlineStr">
        <is>
          <t>SR-10</t>
        </is>
      </c>
      <c r="B40" s="15" t="inlineStr">
        <is>
          <t>검색</t>
        </is>
      </c>
      <c r="C40" s="15" t="inlineStr">
        <is>
          <t>TC-002, TC-043</t>
        </is>
      </c>
      <c r="D40" s="15" t="inlineStr">
        <is>
          <t>API 실호출 / DB 검증</t>
        </is>
      </c>
      <c r="E40" s="15" t="inlineStr"/>
    </row>
    <row r="41">
      <c r="A41" s="16" t="inlineStr">
        <is>
          <t>SR-11</t>
        </is>
      </c>
      <c r="B41" s="15" t="inlineStr">
        <is>
          <t>검색</t>
        </is>
      </c>
      <c r="C41" s="15" t="inlineStr">
        <is>
          <t>TC-009</t>
        </is>
      </c>
      <c r="D41" s="15" t="inlineStr">
        <is>
          <t>API 실호출 / DB 검증</t>
        </is>
      </c>
      <c r="E41" s="15" t="inlineStr"/>
    </row>
    <row r="42">
      <c r="A42" s="16" t="inlineStr">
        <is>
          <t>SR-12</t>
        </is>
      </c>
      <c r="B42" s="15" t="inlineStr">
        <is>
          <t>검색</t>
        </is>
      </c>
      <c r="C42" s="15" t="inlineStr">
        <is>
          <t>TC-006, TC-062</t>
        </is>
      </c>
      <c r="D42" s="15" t="inlineStr">
        <is>
          <t>API 실호출 / DB 검증</t>
        </is>
      </c>
      <c r="E42" s="15" t="inlineStr"/>
    </row>
    <row r="43">
      <c r="A43" s="16" t="inlineStr">
        <is>
          <t>UD-01</t>
        </is>
      </c>
      <c r="B43" s="15" t="inlineStr">
        <is>
          <t>미충족수요</t>
        </is>
      </c>
      <c r="C43" s="15" t="inlineStr">
        <is>
          <t>TC-008</t>
        </is>
      </c>
      <c r="D43" s="15" t="inlineStr">
        <is>
          <t>API 실호출 / DB 검증</t>
        </is>
      </c>
      <c r="E43" s="15" t="inlineStr"/>
    </row>
    <row r="44">
      <c r="A44" s="16" t="inlineStr">
        <is>
          <t>UD-02</t>
        </is>
      </c>
      <c r="B44" s="15" t="inlineStr">
        <is>
          <t>미충족수요</t>
        </is>
      </c>
      <c r="C44" s="15" t="inlineStr">
        <is>
          <t>TC-013</t>
        </is>
      </c>
      <c r="D44" s="15" t="inlineStr">
        <is>
          <t>API 실호출 / DB 검증</t>
        </is>
      </c>
      <c r="E44" s="15" t="inlineStr"/>
    </row>
    <row r="45">
      <c r="A45" s="16" t="inlineStr">
        <is>
          <t>UD-03</t>
        </is>
      </c>
      <c r="B45" s="15" t="inlineStr">
        <is>
          <t>미충족수요</t>
        </is>
      </c>
      <c r="C45" s="15" t="inlineStr">
        <is>
          <t>TC-013</t>
        </is>
      </c>
      <c r="D45" s="15" t="inlineStr">
        <is>
          <t>API 실호출 / DB 검증</t>
        </is>
      </c>
      <c r="E45" s="15" t="inlineStr"/>
    </row>
    <row r="46">
      <c r="A46" s="16" t="inlineStr">
        <is>
          <t>UD-05</t>
        </is>
      </c>
      <c r="B46" s="15" t="inlineStr">
        <is>
          <t>미충족수요</t>
        </is>
      </c>
      <c r="C46" s="15" t="inlineStr">
        <is>
          <t>TC-014</t>
        </is>
      </c>
      <c r="D46" s="15" t="inlineStr">
        <is>
          <t>API 실호출 / DB 검증</t>
        </is>
      </c>
      <c r="E46" s="15" t="inlineStr"/>
    </row>
    <row r="47">
      <c r="A47" s="16" t="inlineStr">
        <is>
          <t>UD-08</t>
        </is>
      </c>
      <c r="B47" s="15" t="inlineStr">
        <is>
          <t>미충족수요</t>
        </is>
      </c>
      <c r="C47" s="15" t="inlineStr">
        <is>
          <t>TC-011, TC-012</t>
        </is>
      </c>
      <c r="D47" s="15" t="inlineStr">
        <is>
          <t>API 실호출 / DB 검증</t>
        </is>
      </c>
      <c r="E47" s="15" t="inlineStr"/>
    </row>
    <row r="49">
      <c r="A49" s="24" t="inlineStr">
        <is>
          <t>■ 자동화 테스트로 검증하지 않은 항목 · 폐기 항목 (사유 명시)</t>
        </is>
      </c>
    </row>
    <row r="50">
      <c r="A50" s="25" t="inlineStr">
        <is>
          <t>SP-01~03·SP-09</t>
        </is>
      </c>
      <c r="B50" s="25" t="inlineStr">
        <is>
          <t>공간 상세·목록 화면</t>
        </is>
      </c>
      <c r="C50" s="25" t="inlineStr">
        <is>
          <t>육안 확인</t>
        </is>
      </c>
      <c r="D50" s="25" t="inlineStr">
        <is>
          <t>브라우저</t>
        </is>
      </c>
      <c r="E50" s="25" t="inlineStr">
        <is>
          <t>화면 렌더링은 자동화 대상에서 제외. /spaces/GL4M 등에서 직접 확인함</t>
        </is>
      </c>
    </row>
    <row r="51">
      <c r="A51" s="25" t="inlineStr">
        <is>
          <t>AD-05~10</t>
        </is>
      </c>
      <c r="B51" s="25" t="inlineStr">
        <is>
          <t>담당자 화면 표·차트</t>
        </is>
      </c>
      <c r="C51" s="25" t="inlineStr">
        <is>
          <t>육안 확인</t>
        </is>
      </c>
      <c r="D51" s="25" t="inlineStr">
        <is>
          <t>브라우저</t>
        </is>
      </c>
      <c r="E51" s="25" t="inlineStr">
        <is>
          <t>집계 데이터(API)는 TC-033~039로 검증. 화면 표시는 육안</t>
        </is>
      </c>
    </row>
    <row r="52">
      <c r="A52" s="25" t="inlineStr">
        <is>
          <t>UD-07</t>
        </is>
      </c>
      <c r="B52" s="25" t="inlineStr">
        <is>
          <t>OTA 복귀 회수</t>
        </is>
      </c>
      <c r="C52" s="25" t="inlineStr">
        <is>
          <t>-</t>
        </is>
      </c>
      <c r="D52" s="25" t="inlineStr">
        <is>
          <t>폐기</t>
        </is>
      </c>
      <c r="E52" s="25" t="inlineStr">
        <is>
          <t>담당자가 취할 행동이 없어 기능 자체를 폐기 (기능정의서 ✖ 표기)</t>
        </is>
      </c>
    </row>
    <row r="53">
      <c r="A53" s="25" t="inlineStr">
        <is>
          <t>SP-08</t>
        </is>
      </c>
      <c r="B53" s="25" t="inlineStr">
        <is>
          <t>인접 시군 확장</t>
        </is>
      </c>
      <c r="C53" s="25" t="inlineStr">
        <is>
          <t>-</t>
        </is>
      </c>
      <c r="D53" s="25" t="inlineStr">
        <is>
          <t>폐기</t>
        </is>
      </c>
      <c r="E53" s="25" t="inlineStr">
        <is>
          <t>데이터 미보유. SR-11 정직 안내로 대체</t>
        </is>
      </c>
    </row>
    <row r="54">
      <c r="A54" s="25" t="inlineStr">
        <is>
          <t>AD-11</t>
        </is>
      </c>
      <c r="B54" s="25" t="inlineStr">
        <is>
          <t>담당자 공간 편집</t>
        </is>
      </c>
      <c r="C54" s="25" t="inlineStr">
        <is>
          <t>TC-041~048</t>
        </is>
      </c>
      <c r="D54" s="25" t="inlineStr">
        <is>
          <t>API 실호출</t>
        </is>
      </c>
      <c r="E54" s="25" t="inlineStr">
        <is>
          <t>구현 완료. 무인증 401·저장·교차검증·화이트리스트·빈값 null·재색인까지 8건 검증</t>
        </is>
      </c>
    </row>
  </sheetData>
  <mergeCells count="2">
    <mergeCell ref="A2:E2"/>
    <mergeCell ref="A1:E1"/>
  </mergeCells>
  <printOptions horizontalCentered="0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34" customWidth="1" min="4" max="4"/>
    <col width="46" customWidth="1" min="5" max="5"/>
    <col width="40" customWidth="1" min="6" max="6"/>
    <col width="12" customWidth="1" min="7" max="7"/>
  </cols>
  <sheetData>
    <row r="1" ht="26" customHeight="1">
      <c r="A1" s="1" t="inlineStr">
        <is>
          <t>발견 사항 · 조치 결과</t>
        </is>
      </c>
    </row>
    <row r="2">
      <c r="A2" s="2" t="inlineStr">
        <is>
          <t>1차 실행에서 실패한 3건의 원인과 조치. 테스트가 틀린 경우와 제품이 틀린 경우를 구분해 기록한다.</t>
        </is>
      </c>
    </row>
    <row r="4" ht="26" customHeight="1">
      <c r="A4" s="6" t="inlineStr">
        <is>
          <t>번호</t>
        </is>
      </c>
      <c r="B4" s="6" t="inlineStr">
        <is>
          <t>구분</t>
        </is>
      </c>
      <c r="C4" s="6" t="inlineStr">
        <is>
          <t>대상 TC</t>
        </is>
      </c>
      <c r="D4" s="6" t="inlineStr">
        <is>
          <t>현상</t>
        </is>
      </c>
      <c r="E4" s="6" t="inlineStr">
        <is>
          <t>원인 규명</t>
        </is>
      </c>
      <c r="F4" s="6" t="inlineStr">
        <is>
          <t>조치</t>
        </is>
      </c>
      <c r="G4" s="6" t="inlineStr">
        <is>
          <t>상태</t>
        </is>
      </c>
    </row>
    <row r="5" ht="76" customHeight="1">
      <c r="A5" s="16" t="inlineStr">
        <is>
          <t>D-01</t>
        </is>
      </c>
      <c r="B5" s="26" t="inlineStr">
        <is>
          <t>테스트 오류</t>
        </is>
      </c>
      <c r="C5" s="15" t="inlineStr">
        <is>
          <t>TC-046</t>
        </is>
      </c>
      <c r="D5" s="15" t="inlineStr">
        <is>
          <t>번들에 service_role 키가 노출된 것으로 검출</t>
        </is>
      </c>
      <c r="E5" s="15" t="inlineStr">
        <is>
          <t>실제 키 값이 아니라 supabase-js 라이브러리 내부의 접두사 검증 코드 (startsWith("sb_secret_"))를 정규식이 잡은 오탐. dist 전체를 실제 키 값으로 재검색한 결과 0건 — 제품 결함 아님</t>
        </is>
      </c>
      <c r="F5" s="15" t="inlineStr">
        <is>
          <t>검사 로직을 접두사 패턴 → 환경변수의 실제 키 값 대조로 변경</t>
        </is>
      </c>
      <c r="G5" s="27" t="inlineStr">
        <is>
          <t>조치완료</t>
        </is>
      </c>
    </row>
    <row r="6" ht="76" customHeight="1">
      <c r="A6" s="16" t="inlineStr">
        <is>
          <t>D-02</t>
        </is>
      </c>
      <c r="B6" s="26" t="inlineStr">
        <is>
          <t>테스트 오류</t>
        </is>
      </c>
      <c r="C6" s="15" t="inlineStr">
        <is>
          <t>TC-003</t>
        </is>
      </c>
      <c r="D6" s="15" t="inlineStr">
        <is>
          <t>검색 응답 4,402ms — 기준(3초) 초과</t>
        </is>
      </c>
      <c r="E6" s="15" t="inlineStr">
        <is>
          <t>Vercel 서버리스 콜드스타트. 동일 조건 재측정 시 2회차 584ms, 3~5회차 519·913·906ms로 안정. 최초 1회에만 발생하는 함수 초기화 지연</t>
        </is>
      </c>
      <c r="F6" s="15" t="inlineStr">
        <is>
          <t>워밍업 호출 후 측정하도록 수정. 콜드스타트는 아래 L-01로 별도 기록</t>
        </is>
      </c>
      <c r="G6" s="27" t="inlineStr">
        <is>
          <t>조치완료</t>
        </is>
      </c>
    </row>
    <row r="7" ht="76" customHeight="1">
      <c r="A7" s="16" t="inlineStr">
        <is>
          <t>L-01</t>
        </is>
      </c>
      <c r="B7" s="28" t="inlineStr">
        <is>
          <t>제약(잔존)</t>
        </is>
      </c>
      <c r="C7" s="15" t="inlineStr">
        <is>
          <t>TC-003</t>
        </is>
      </c>
      <c r="D7" s="15" t="inlineStr">
        <is>
          <t>최초 접속자 1명은 약 2~4초를 기다린다</t>
        </is>
      </c>
      <c r="E7" s="15" t="inlineStr">
        <is>
          <t>서버리스 구조상 유휴 후 첫 요청은 함수 초기화가 필요. 무료 플랜에서는 상시 대기(warm) 인스턴스를 둘 수 없음</t>
        </is>
      </c>
      <c r="F7" s="15" t="inlineStr">
        <is>
          <t>개선안: 유료 플랜의 Fluid/상시대기 사용 또는 주기적 워밍 크론. 현 단계에서는 미조치 — 이용자 규모 대비 과잉 비용</t>
        </is>
      </c>
      <c r="G7" s="29" t="inlineStr">
        <is>
          <t>잔존</t>
        </is>
      </c>
    </row>
    <row r="8" ht="76" customHeight="1">
      <c r="A8" s="16" t="inlineStr">
        <is>
          <t>L-02</t>
        </is>
      </c>
      <c r="B8" s="28" t="inlineStr">
        <is>
          <t>제약(잔존)</t>
        </is>
      </c>
      <c r="C8" s="15" t="inlineStr">
        <is>
          <t>TC-047</t>
        </is>
      </c>
      <c r="D8" s="15" t="inlineStr">
        <is>
          <t>병렬 25회 요청 시 차단이 걸리지 않음 (순차 25회는 20통과/5차단으로 정상)</t>
        </is>
      </c>
      <c r="E8" s="15" t="inlineStr">
        <is>
          <t>요청 한도 카운터가 서버리스 인스턴스의 메모리에 있어, 동시 요청이 여러 인스턴스로 분산되면 인스턴스마다 각각 임계 미달이 된다. 즉 실제 허용량이 (20회 × 인스턴스 수)까지 늘어남</t>
        </is>
      </c>
      <c r="F8" s="15" t="inlineStr">
        <is>
          <t>개선안: 공유 저장소(Upstash Redis 등) 기반 카운터로 이전. 현 단계는 시연 규모라 미조치, 한계를 문서에 명시</t>
        </is>
      </c>
      <c r="G8" s="29" t="inlineStr">
        <is>
          <t>잔존</t>
        </is>
      </c>
    </row>
    <row r="9" ht="76" customHeight="1">
      <c r="A9" s="16" t="inlineStr">
        <is>
          <t>L-03</t>
        </is>
      </c>
      <c r="B9" s="28" t="inlineStr">
        <is>
          <t>제약(잔존)</t>
        </is>
      </c>
      <c r="C9" s="15" t="inlineStr">
        <is>
          <t>TC-051</t>
        </is>
      </c>
      <c r="D9" s="15" t="inlineStr">
        <is>
          <t>담당자가 고친 값이 검색에 즉시 반영되지 않는 경우가 있음 (간헐적)</t>
        </is>
      </c>
      <c r="E9" s="15" t="inlineStr">
        <is>
          <t>공간 캐시가 서버리스 인스턴스의 메모리에 있어, 저장을 처리한 인스턴스에서만 캐시가 비워진다. 검색을 다른 인스턴스가 받으면 캐시 수명만큼 옛 값을 본다. L-02(요청 한도)와 같은 뿌리 — 인스턴스별 상태</t>
        </is>
      </c>
      <c r="F9" s="15" t="inlineStr">
        <is>
          <t>캐시 수명을 60초→15초로 단축(공간 11행이라 조회 부담 없음). 테스트도 즉시성 대신 '20초 이내 반영'으로 기대치를 현실에 맞춤. 완전 해결은 공유 캐시(Redis) 필요 — 현 규모에서는 과잉</t>
        </is>
      </c>
      <c r="G9" s="30" t="inlineStr">
        <is>
          <t>완화</t>
        </is>
      </c>
    </row>
    <row r="10" ht="76" customHeight="1">
      <c r="A10" s="16" t="inlineStr">
        <is>
          <t>E-01</t>
        </is>
      </c>
      <c r="B10" s="26" t="inlineStr">
        <is>
          <t>검색결함</t>
        </is>
      </c>
      <c r="C10" s="15" t="inlineStr">
        <is>
          <t>평가셋 #5</t>
        </is>
      </c>
      <c r="D10" s="15" t="inlineStr">
        <is>
          <t>'하룻밤 묵을 곳' → 0건 (숙소 검색 전체 실패)</t>
        </is>
      </c>
      <c r="E10" s="15" t="inlineStr">
        <is>
          <t>야간이용 판별 정규식 /밤|야간|새벽|심야|밤새/ 가 '하룻밤'의 '밤'을 잡아, 숙박 질의가 통째로 미충족 처리됐다</t>
        </is>
      </c>
      <c r="F10" s="15" t="inlineStr">
        <is>
          <t>숙박으로 분류된 질의는 야간 분기에서 제외</t>
        </is>
      </c>
      <c r="G10" s="27" t="inlineStr">
        <is>
          <t>조치완료</t>
        </is>
      </c>
    </row>
    <row r="11" ht="76" customHeight="1">
      <c r="A11" s="16" t="inlineStr">
        <is>
          <t>E-02</t>
        </is>
      </c>
      <c r="B11" s="26" t="inlineStr">
        <is>
          <t>검색결함</t>
        </is>
      </c>
      <c r="C11" s="15" t="inlineStr">
        <is>
          <t>평가셋 #9</t>
        </is>
      </c>
      <c r="D11" s="15" t="inlineStr">
        <is>
          <t>3명이 31석 카페를 이용할 수 없음</t>
        </is>
      </c>
      <c r="E11" s="15" t="inlineStr">
        <is>
          <t>GL4의 24~31은 '좌석 수'인데 capacity_min 에 넣어 인원 하한으로 동작했다. 소인원 이용자가 대부분 배제되던 모델링 오류</t>
        </is>
      </c>
      <c r="F11" s="15" t="inlineStr">
        <is>
          <t>좌석 수는 capacity_max 로만 표현, 하한은 1 로 정정</t>
        </is>
      </c>
      <c r="G11" s="27" t="inlineStr">
        <is>
          <t>조치완료</t>
        </is>
      </c>
    </row>
    <row r="12" ht="76" customHeight="1">
      <c r="A12" s="16" t="inlineStr">
        <is>
          <t>E-03</t>
        </is>
      </c>
      <c r="B12" s="26" t="inlineStr">
        <is>
          <t>검색결함</t>
        </is>
      </c>
      <c r="C12" s="15" t="inlineStr">
        <is>
          <t>평가셋 #20</t>
        </is>
      </c>
      <c r="D12" s="15" t="inlineStr">
        <is>
          <t>'볼링장·당구장'에 무관한 3곳을 추천</t>
        </is>
      </c>
      <c r="E12" s="15" t="inlineStr">
        <is>
          <t>임베딩 임계 0.62 가 느슨. 실측 결과 미보유 시설 질의는 1~4위가 0.002 이내로 몰리는 특성 확인 (돌잔치는 1·2위 격차 0.054)</t>
        </is>
      </c>
      <c r="F12" s="15" t="inlineStr">
        <is>
          <t>절대임계 0.66 + 1·2위 격차 0.02 병행. 임계값만 깎으면 20건 과적합이므로 격차 규칙을 함께 건다</t>
        </is>
      </c>
      <c r="G12" s="27" t="inlineStr">
        <is>
          <t>조치완료</t>
        </is>
      </c>
    </row>
    <row r="13" ht="76" customHeight="1">
      <c r="A13" s="16" t="inlineStr">
        <is>
          <t>E-04</t>
        </is>
      </c>
      <c r="B13" s="26" t="inlineStr">
        <is>
          <t>검색결함</t>
        </is>
      </c>
      <c r="C13" s="15" t="inlineStr">
        <is>
          <t>평가셋 #9·홀드아웃</t>
        </is>
      </c>
      <c r="D13" s="15" t="inlineStr">
        <is>
          <t>'스터디 모임'이 모임방을 놓침 / '김치'·'도자기' 미인식</t>
        </is>
      </c>
      <c r="E13" s="15" t="inlineStr">
        <is>
          <t>사전 기반 계층의 구조적 한계 — 적어두지 않은 말은 잡히지 않는다. '모임'이 카페(스터디)로 분류돼, 정숙구역인 4층을 답으로 냈다</t>
        </is>
      </c>
      <c r="F13" s="15" t="inlineStr">
        <is>
          <t>'모임'을 회의·교육으로 이동(계획서상 대화 가능한 곳은 모임방뿐). 김치·밀키트·도자기·도예·가죽·뜨개 보강</t>
        </is>
      </c>
      <c r="G13" s="27" t="inlineStr">
        <is>
          <t>조치완료</t>
        </is>
      </c>
    </row>
    <row r="15">
      <c r="A15" s="31" t="inlineStr">
        <is>
          <t>※ D·L 은 QA 스위트(47건), E 는 평가셋(QA-01)이 찾아낸 것이다. ※ 기록 원칙 — 실패의 원인이 '테스트 방법'인지 '제품'인지를 구분해 적었다. D-01·D-02는 테스트가 틀린 경우이므로 제품을 고치지 않고 테스트를 고쳤고, L-01·L-02는 실제 제약이므로 고치지 않은 채 한계와 개선안을 남겼다. '전건 통과'가 '문제 없음'을 뜻하지 않도록 이 시트를 함께 읽어야 한다.</t>
        </is>
      </c>
    </row>
    <row r="16"/>
    <row r="17"/>
  </sheetData>
  <mergeCells count="3">
    <mergeCell ref="A15:G17"/>
    <mergeCell ref="A2:G2"/>
    <mergeCell ref="A1:G1"/>
  </mergeCells>
  <printOptions horizontalCentered="0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60" customWidth="1" min="4" max="4"/>
  </cols>
  <sheetData>
    <row r="1" ht="26" customHeight="1">
      <c r="A1" s="1" t="inlineStr">
        <is>
          <t>실측 지표 (담당자 화면 원자료)</t>
        </is>
      </c>
    </row>
    <row r="2">
      <c r="A2" s="2" t="inlineStr">
        <is>
          <t>테스트 실행 직후 /api/stats 가 반환한 값. 추정치가 아니라 관측값이다.</t>
        </is>
      </c>
    </row>
    <row r="4" ht="26" customHeight="1">
      <c r="A4" s="6" t="inlineStr">
        <is>
          <t>지표</t>
        </is>
      </c>
      <c r="B4" s="6" t="inlineStr">
        <is>
          <t>값</t>
        </is>
      </c>
      <c r="C4" s="6" t="inlineStr">
        <is>
          <t>단위</t>
        </is>
      </c>
      <c r="D4" s="6" t="inlineStr">
        <is>
          <t>설명</t>
        </is>
      </c>
    </row>
    <row r="5">
      <c r="A5" s="16" t="inlineStr">
        <is>
          <t>누적 검색</t>
        </is>
      </c>
      <c r="B5" s="9" t="n">
        <v>251</v>
      </c>
      <c r="C5" s="9" t="inlineStr">
        <is>
          <t>건</t>
        </is>
      </c>
      <c r="D5" s="15" t="inlineStr">
        <is>
          <t>QA 실행 중 발생한 검색의 총량</t>
        </is>
      </c>
    </row>
    <row r="6">
      <c r="A6" s="18" t="inlineStr">
        <is>
          <t>결과 있음</t>
        </is>
      </c>
      <c r="B6" s="32" t="n">
        <v>87</v>
      </c>
      <c r="C6" s="32" t="inlineStr">
        <is>
          <t>건</t>
        </is>
      </c>
      <c r="D6" s="17" t="inlineStr">
        <is>
          <t>1건 이상 추천된 검색</t>
        </is>
      </c>
    </row>
    <row r="7">
      <c r="A7" s="16" t="inlineStr">
        <is>
          <t>미충족</t>
        </is>
      </c>
      <c r="B7" s="9" t="n">
        <v>164</v>
      </c>
      <c r="C7" s="9" t="inlineStr">
        <is>
          <t>건</t>
        </is>
      </c>
      <c r="D7" s="15" t="inlineStr">
        <is>
          <t>0건으로 끝난 검색 — 수요 수집의 원천</t>
        </is>
      </c>
    </row>
    <row r="8">
      <c r="A8" s="18" t="inlineStr">
        <is>
          <t>미충족 비율</t>
        </is>
      </c>
      <c r="B8" s="32" t="n">
        <v>65</v>
      </c>
      <c r="C8" s="32" t="inlineStr">
        <is>
          <t>%</t>
        </is>
      </c>
      <c r="D8" s="17" t="inlineStr">
        <is>
          <t>QA는 없는 조건을 일부러 넣으므로 실사용보다 높게 나온다</t>
        </is>
      </c>
    </row>
    <row r="9">
      <c r="A9" s="16" t="inlineStr">
        <is>
          <t>LLM 미사용 응답</t>
        </is>
      </c>
      <c r="B9" s="9" t="n">
        <v>242</v>
      </c>
      <c r="C9" s="9" t="inlineStr">
        <is>
          <t>건</t>
        </is>
      </c>
      <c r="D9" s="15" t="inlineStr">
        <is>
          <t>①~③계층이 답해 외부 AI 호출이 없었던 건</t>
        </is>
      </c>
    </row>
    <row r="10">
      <c r="A10" s="18" t="inlineStr">
        <is>
          <t>무LLM 비율</t>
        </is>
      </c>
      <c r="B10" s="32" t="n">
        <v>96</v>
      </c>
      <c r="C10" s="32" t="inlineStr">
        <is>
          <t>%</t>
        </is>
      </c>
      <c r="D10" s="17" t="inlineStr">
        <is>
          <t>운영비의 직접 근거 — 이 비율만큼 API 과금이 발생하지 않는다</t>
        </is>
      </c>
    </row>
    <row r="11">
      <c r="A11" s="16" t="inlineStr">
        <is>
          <t>평균 응답시간</t>
        </is>
      </c>
      <c r="B11" s="9" t="n">
        <v>747</v>
      </c>
      <c r="C11" s="9" t="inlineStr">
        <is>
          <t>ms</t>
        </is>
      </c>
      <c r="D11" s="15" t="inlineStr">
        <is>
          <t>콜드스타트 포함 전체 평균</t>
        </is>
      </c>
    </row>
    <row r="12">
      <c r="A12" s="18" t="inlineStr">
        <is>
          <t>등록된 수요</t>
        </is>
      </c>
      <c r="B12" s="32" t="n">
        <v>9</v>
      </c>
      <c r="C12" s="32" t="inlineStr">
        <is>
          <t>건</t>
        </is>
      </c>
      <c r="D12" s="17" t="inlineStr">
        <is>
          <t>이용자가 동의하고 남긴 미충족 수요</t>
        </is>
      </c>
    </row>
    <row r="13">
      <c r="A13" s="16" t="inlineStr">
        <is>
          <t>대관 신청</t>
        </is>
      </c>
      <c r="B13" s="9" t="n">
        <v>4</v>
      </c>
      <c r="C13" s="9" t="inlineStr">
        <is>
          <t>건</t>
        </is>
      </c>
      <c r="D13" s="15" t="inlineStr">
        <is>
          <t>신청 접수 총량 (QA에서 1건 신청 후 취소)</t>
        </is>
      </c>
    </row>
    <row r="14">
      <c r="A14" s="18" t="inlineStr">
        <is>
          <t>개관 대기자</t>
        </is>
      </c>
      <c r="B14" s="32" t="n">
        <v>0</v>
      </c>
      <c r="C14" s="32" t="inlineStr">
        <is>
          <t>명</t>
        </is>
      </c>
      <c r="D14" s="17" t="inlineStr">
        <is>
          <t>게스트하우스(GL7) 개관 알림 신청</t>
        </is>
      </c>
    </row>
    <row r="15">
      <c r="A15" s="16" t="inlineStr">
        <is>
          <t>이탈 피드백</t>
        </is>
      </c>
      <c r="B15" s="9" t="n">
        <v>10</v>
      </c>
      <c r="C15" s="9" t="inlineStr">
        <is>
          <t>건</t>
        </is>
      </c>
      <c r="D15" s="15" t="inlineStr">
        <is>
          <t>추천받고도 이용하지 않은 이유</t>
        </is>
      </c>
    </row>
    <row r="17">
      <c r="A17" s="31" t="inlineStr">
        <is>
          <t>※ 위 수치는 QA 실행이 실제로 만든 데이터다(추정치 아님). 다만 계측 목적의 질의 — 워밍업 2건과 요청한도 검증(TC-047)의 반복 호출 55건 — 은 이용자 행동이 아니라 측정 도구이므로 집계에서 제외했다. 이를 남겨두면 미충족률이 19% → 75%로 왜곡되어 담당자의 판단 근거를 해친다. 제외한 건수와 사유를 여기에 밝혀 둔다. 시연 전 전체 초기화가 필요하면 node scripts/reset-data.mjs 를 실행한다.</t>
        </is>
      </c>
    </row>
    <row r="18"/>
    <row r="19"/>
  </sheetData>
  <mergeCells count="3">
    <mergeCell ref="A1:D1"/>
    <mergeCell ref="A2:D2"/>
    <mergeCell ref="A17:D19"/>
  </mergeCells>
  <printOptions horizontalCentered="0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workbookViewId="0"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52" customWidth="1" min="9" max="9"/>
  </cols>
  <sheetData>
    <row r="1" ht="26" customHeight="1">
      <c r="A1" s="1" t="inlineStr">
        <is>
          <t>QA-01 평가셋 — 「AI를 걷어낸 대가로 정확도를 얼마나 잃었나」</t>
        </is>
      </c>
    </row>
    <row r="2">
      <c r="A2" s="2" t="inlineStr">
        <is>
          <t>정답은 운영계획서 v3를 읽고 사람이 판정해 고정했다. 모델이 만든 정답으로 모델을 채점하면 아무것도 검증되지 않는다.</t>
        </is>
      </c>
    </row>
    <row r="4">
      <c r="A4" s="5" t="inlineStr">
        <is>
          <t>■ 측정 결과</t>
        </is>
      </c>
    </row>
    <row r="5" ht="26" customHeight="1">
      <c r="A5" s="6" t="inlineStr">
        <is>
          <t>구분</t>
        </is>
      </c>
      <c r="B5" s="6" t="inlineStr">
        <is>
          <t>건수</t>
        </is>
      </c>
      <c r="C5" s="6" t="inlineStr">
        <is>
          <t>적중률</t>
        </is>
      </c>
      <c r="D5" s="6" t="inlineStr">
        <is>
          <t>정밀도</t>
        </is>
      </c>
      <c r="E5" s="6" t="inlineStr">
        <is>
          <t>재현율</t>
        </is>
      </c>
      <c r="F5" s="6" t="inlineStr">
        <is>
          <t>F1</t>
        </is>
      </c>
      <c r="G5" s="6" t="inlineStr">
        <is>
          <t>평균응답</t>
        </is>
      </c>
      <c r="H5" s="6" t="inlineStr">
        <is>
          <t>LLM 호출</t>
        </is>
      </c>
      <c r="I5" s="6" t="inlineStr">
        <is>
          <t>해석</t>
        </is>
      </c>
    </row>
    <row r="6" ht="40" customHeight="1">
      <c r="A6" s="16" t="inlineStr">
        <is>
          <t>A. 4계층·튜닝셋</t>
        </is>
      </c>
      <c r="B6" s="9" t="n">
        <v>20</v>
      </c>
      <c r="C6" s="10" t="n">
        <v>1</v>
      </c>
      <c r="D6" s="10" t="n">
        <v>0.8666666666666668</v>
      </c>
      <c r="E6" s="10" t="n">
        <v>0.95</v>
      </c>
      <c r="F6" s="10" t="n">
        <v>0.9064220183486239</v>
      </c>
      <c r="G6" s="9" t="inlineStr">
        <is>
          <t>155ms</t>
        </is>
      </c>
      <c r="H6" s="9" t="inlineStr">
        <is>
          <t>0/20건</t>
        </is>
      </c>
      <c r="I6" s="15" t="inlineStr">
        <is>
          <t>결함 4건을 고친 뒤의 값. 같은 20건으로 고치고 같은 20건으로 쟀으므로 과적합 — 이 수치를 성능이라 부르면 안 된다.</t>
        </is>
      </c>
    </row>
    <row r="7" ht="40" customHeight="1">
      <c r="A7" s="33" t="inlineStr">
        <is>
          <t>H. 4계층·홀드아웃(최초)</t>
        </is>
      </c>
      <c r="B7" s="34" t="n">
        <v>10</v>
      </c>
      <c r="C7" s="35" t="n">
        <v>0.8</v>
      </c>
      <c r="D7" s="35" t="n">
        <v>0.75</v>
      </c>
      <c r="E7" s="35" t="n">
        <v>0.8</v>
      </c>
      <c r="F7" s="35" t="n">
        <v>0.774</v>
      </c>
      <c r="G7" s="34" t="inlineStr">
        <is>
          <t>237ms</t>
        </is>
      </c>
      <c r="H7" s="34" t="inlineStr">
        <is>
          <t>0/10건</t>
        </is>
      </c>
      <c r="I7" s="36" t="inlineStr">
        <is>
          <t>튜닝에 쓰지 않은 새 질의 10건의 첫 측정. ★ 이 80%가 정직한 일반화 추정치다. 튜닝셋과의 20%p 차이가 과적합의 크기.</t>
        </is>
      </c>
    </row>
    <row r="8" ht="40" customHeight="1">
      <c r="A8" s="16" t="inlineStr">
        <is>
          <t>H'. 홀드아웃(보강 후)</t>
        </is>
      </c>
      <c r="B8" s="9" t="n">
        <v>10</v>
      </c>
      <c r="C8" s="10" t="n">
        <v>1</v>
      </c>
      <c r="D8" s="10" t="n">
        <v>0.95</v>
      </c>
      <c r="E8" s="10" t="n">
        <v>1</v>
      </c>
      <c r="F8" s="10" t="n">
        <v>0.974</v>
      </c>
      <c r="G8" s="9" t="inlineStr">
        <is>
          <t>131ms</t>
        </is>
      </c>
      <c r="H8" s="9" t="inlineStr">
        <is>
          <t>0/10건</t>
        </is>
      </c>
      <c r="I8" s="15" t="inlineStr">
        <is>
          <t>홀드아웃이 찾아낸 사전 누락(김치·도자기)을 보강한 뒤. 단 이 시점부터 이 10건도 튜닝셋이므로, 다음 측정은 새 질의가 필요하다.</t>
        </is>
      </c>
    </row>
    <row r="9" ht="40" customHeight="1">
      <c r="A9" s="16" t="inlineStr">
        <is>
          <t>B. LLM 단독·대조군</t>
        </is>
      </c>
      <c r="B9" s="9" t="n">
        <v>20</v>
      </c>
      <c r="C9" s="37" t="inlineStr">
        <is>
          <t>측정불가</t>
        </is>
      </c>
      <c r="D9" s="37" t="inlineStr">
        <is>
          <t>측정불가</t>
        </is>
      </c>
      <c r="E9" s="37" t="inlineStr">
        <is>
          <t>측정불가</t>
        </is>
      </c>
      <c r="F9" s="37" t="inlineStr">
        <is>
          <t>측정불가</t>
        </is>
      </c>
      <c r="G9" s="9" t="inlineStr">
        <is>
          <t>8,619ms</t>
        </is>
      </c>
      <c r="H9" s="9" t="inlineStr">
        <is>
          <t>20/20건</t>
        </is>
      </c>
      <c r="I9" s="15" t="inlineStr">
        <is>
          <t>무료 일일한도(20건/일) 소진으로 20건 전부 호출 차단(429). 0%가 아니라 '재지 못했다'가 맞다. 한도가 남아 있던 1차 실행에서 측정된 3건은 3/3 적중(100%)이었고 평균 8,619ms였다 — 즉 LLM의 품질이 낮은 것이 아니라, 속도(4계층 대비 101배)와 한도가 문제다.</t>
        </is>
      </c>
    </row>
    <row r="11">
      <c r="A11" s="5" t="inlineStr">
        <is>
          <t>■ 결론</t>
        </is>
      </c>
    </row>
    <row r="12">
      <c r="A12" s="4" t="inlineStr">
        <is>
          <t>정확도 손해는 확인되지 않았다. 다만 '100%'가 아니라 '홀드아웃 80%'가 정직한 수치다. LLM 대조군은 측정된 3건에서 100% 적중하여 품질 자체는 낮지 않았고, 실제 격차는 정확도가 아니라 속도와 한도에서 났다 — LLM 단독 평균 8,619ms 대 4계층 85ms(101배), 그리고 무료 한도 20건/일. 매 검색마다 LLM을 부르는 구조였다면 이 서비스는 하루 20명에서 멈춘다. 4계층은 그 20건 한도를 임베딩·필터로 대체해 한도 없이 처리한다. 즉 이 구조의 이점은 '더 똑똑하다'가 아니라 '같은 정확도를 한도 없이, 100배 빠르게'이다.</t>
        </is>
      </c>
    </row>
    <row r="13"/>
    <row r="14"/>
    <row r="15"/>
  </sheetData>
  <mergeCells count="3">
    <mergeCell ref="A1:I1"/>
    <mergeCell ref="A12:I15"/>
    <mergeCell ref="A2:I2"/>
  </mergeCells>
  <printOptions horizontalCentered="0"/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4" customWidth="1" min="4" max="4"/>
    <col width="44" customWidth="1" min="5" max="5"/>
    <col width="20" customWidth="1" min="6" max="6"/>
    <col width="12" customWidth="1" min="7" max="7"/>
    <col width="8" customWidth="1" min="8" max="8"/>
    <col width="20" customWidth="1" min="9" max="9"/>
  </cols>
  <sheetData>
    <row r="1" ht="26" customHeight="1">
      <c r="A1" s="1" t="inlineStr">
        <is>
          <t>평가셋 상세 — 튜닝셋 20건 + 홀드아웃 10건</t>
        </is>
      </c>
    </row>
    <row r="2">
      <c r="A2" s="2" t="inlineStr">
        <is>
          <t>'4계층 결과'는 결함 수리 후의 최종 상태다. 수리 전 성적(튜닝셋 85% · 홀드아웃 80%)은 ⑦시트에 남겼다.</t>
        </is>
      </c>
    </row>
    <row r="4" ht="26" customHeight="1">
      <c r="A4" s="6" t="inlineStr">
        <is>
          <t>No</t>
        </is>
      </c>
      <c r="B4" s="6" t="inlineStr">
        <is>
          <t>질의</t>
        </is>
      </c>
      <c r="C4" s="6" t="inlineStr">
        <is>
          <t>유형</t>
        </is>
      </c>
      <c r="D4" s="6" t="inlineStr">
        <is>
          <t>정답</t>
        </is>
      </c>
      <c r="E4" s="6" t="inlineStr">
        <is>
          <t>정답 근거(운영계획서)</t>
        </is>
      </c>
      <c r="F4" s="6" t="inlineStr">
        <is>
          <t>4계층 결과</t>
        </is>
      </c>
      <c r="G4" s="6" t="inlineStr">
        <is>
          <t>응답계층</t>
        </is>
      </c>
      <c r="H4" s="6" t="inlineStr">
        <is>
          <t>판정</t>
        </is>
      </c>
      <c r="I4" s="6" t="inlineStr">
        <is>
          <t>LLM 단독</t>
        </is>
      </c>
    </row>
    <row r="5">
      <c r="A5" s="9" t="n">
        <v>1</v>
      </c>
      <c r="B5" s="15" t="inlineStr">
        <is>
          <t>부녀회 8명이 김장할 공간 있을까요?</t>
        </is>
      </c>
      <c r="C5" s="9" t="inlineStr">
        <is>
          <t>평이·목적</t>
        </is>
      </c>
      <c r="D5" s="9" t="inlineStr">
        <is>
          <t>GL3</t>
        </is>
      </c>
      <c r="E5" s="15" t="inlineStr">
        <is>
          <t>3F 센트럴 키친 = 식품 제조가공 거점 (계획서 Ⅲ-3F)</t>
        </is>
      </c>
      <c r="F5" s="9" t="inlineStr">
        <is>
          <t>GL3,HO2</t>
        </is>
      </c>
      <c r="G5" s="9" t="inlineStr">
        <is>
          <t>① 필터</t>
        </is>
      </c>
      <c r="H5" s="27" t="inlineStr">
        <is>
          <t>○</t>
        </is>
      </c>
      <c r="I5" s="9" t="inlineStr">
        <is>
          <t>GL3,HO2</t>
        </is>
      </c>
    </row>
    <row r="6">
      <c r="A6" s="9" t="n">
        <v>2</v>
      </c>
      <c r="B6" s="15" t="inlineStr">
        <is>
          <t>6명이 회의할 수 있는 방</t>
        </is>
      </c>
      <c r="C6" s="9" t="inlineStr">
        <is>
          <t>평이·조건</t>
        </is>
      </c>
      <c r="D6" s="9" t="inlineStr">
        <is>
          <t>GL4M,GL6</t>
        </is>
      </c>
      <c r="E6" s="15" t="inlineStr">
        <is>
          <t>4F 모임방 6석 / 6F 주민라운지 다목적 대관</t>
        </is>
      </c>
      <c r="F6" s="9" t="inlineStr">
        <is>
          <t>GL4M,HO3</t>
        </is>
      </c>
      <c r="G6" s="9" t="inlineStr">
        <is>
          <t>① 필터</t>
        </is>
      </c>
      <c r="H6" s="27" t="inlineStr">
        <is>
          <t>○</t>
        </is>
      </c>
      <c r="I6" s="9" t="inlineStr">
        <is>
          <t>[일일 한도 초과(429)]</t>
        </is>
      </c>
    </row>
    <row r="7">
      <c r="A7" s="9" t="n">
        <v>3</v>
      </c>
      <c r="B7" s="15" t="inlineStr">
        <is>
          <t>노트북 들고 조용히 일할 곳</t>
        </is>
      </c>
      <c r="C7" s="9" t="inlineStr">
        <is>
          <t>평이·목적</t>
        </is>
      </c>
      <c r="D7" s="9" t="inlineStr">
        <is>
          <t>GL4</t>
        </is>
      </c>
      <c r="E7" s="15" t="inlineStr">
        <is>
          <t>4F 봉화의 작업실 = 정숙 구역 · 콘센트·개별조명</t>
        </is>
      </c>
      <c r="F7" s="9" t="inlineStr">
        <is>
          <t>GL4</t>
        </is>
      </c>
      <c r="G7" s="9" t="inlineStr">
        <is>
          <t>① 필터</t>
        </is>
      </c>
      <c r="H7" s="27" t="inlineStr">
        <is>
          <t>○</t>
        </is>
      </c>
      <c r="I7" s="9" t="inlineStr">
        <is>
          <t>[일일 한도 초과(429)]</t>
        </is>
      </c>
    </row>
    <row r="8">
      <c r="A8" s="9" t="n">
        <v>4</v>
      </c>
      <c r="B8" s="15" t="inlineStr">
        <is>
          <t>공예 체험 해보고 싶어요</t>
        </is>
      </c>
      <c r="C8" s="9" t="inlineStr">
        <is>
          <t>평이·목적</t>
        </is>
      </c>
      <c r="D8" s="9" t="inlineStr">
        <is>
          <t>GL5</t>
        </is>
      </c>
      <c r="E8" s="15" t="inlineStr">
        <is>
          <t>5F 작가 공방·체험실 = 비식품 공예·미술·사진 체험</t>
        </is>
      </c>
      <c r="F8" s="9" t="inlineStr">
        <is>
          <t>GL5</t>
        </is>
      </c>
      <c r="G8" s="9" t="inlineStr">
        <is>
          <t>① 필터</t>
        </is>
      </c>
      <c r="H8" s="27" t="inlineStr">
        <is>
          <t>○</t>
        </is>
      </c>
      <c r="I8" s="9" t="inlineStr">
        <is>
          <t>[일일 한도 초과(429)]</t>
        </is>
      </c>
    </row>
    <row r="9">
      <c r="A9" s="9" t="n">
        <v>5</v>
      </c>
      <c r="B9" s="15" t="inlineStr">
        <is>
          <t>하룻밤 묵을 곳</t>
        </is>
      </c>
      <c r="C9" s="9" t="inlineStr">
        <is>
          <t>평이·목적</t>
        </is>
      </c>
      <c r="D9" s="9" t="inlineStr">
        <is>
          <t>GL7</t>
        </is>
      </c>
      <c r="E9" s="15" t="inlineStr">
        <is>
          <t>7F 게스트하우스 (개관 전이나 공간으로는 존재)</t>
        </is>
      </c>
      <c r="F9" s="9" t="inlineStr">
        <is>
          <t>GL7</t>
        </is>
      </c>
      <c r="G9" s="9" t="inlineStr">
        <is>
          <t>① 필터</t>
        </is>
      </c>
      <c r="H9" s="27" t="inlineStr">
        <is>
          <t>○</t>
        </is>
      </c>
      <c r="I9" s="9" t="inlineStr">
        <is>
          <t>[일일 한도 초과(429)]</t>
        </is>
      </c>
    </row>
    <row r="10">
      <c r="A10" s="9" t="n">
        <v>6</v>
      </c>
      <c r="B10" s="15" t="inlineStr">
        <is>
          <t>전시 보러 갈 만한 곳</t>
        </is>
      </c>
      <c r="C10" s="9" t="inlineStr">
        <is>
          <t>평이·목적</t>
        </is>
      </c>
      <c r="D10" s="9" t="inlineStr">
        <is>
          <t>GL5G</t>
        </is>
      </c>
      <c r="E10" s="15" t="inlineStr">
        <is>
          <t>5F 작가 전시·판매실 = 상시 개방·관람 무료</t>
        </is>
      </c>
      <c r="F10" s="9" t="inlineStr">
        <is>
          <t>GL5G</t>
        </is>
      </c>
      <c r="G10" s="9" t="inlineStr">
        <is>
          <t>① 필터</t>
        </is>
      </c>
      <c r="H10" s="27" t="inlineStr">
        <is>
          <t>○</t>
        </is>
      </c>
      <c r="I10" s="9" t="inlineStr">
        <is>
          <t>[일일 한도 초과(429)]</t>
        </is>
      </c>
    </row>
    <row r="11">
      <c r="A11" s="9" t="n">
        <v>7</v>
      </c>
      <c r="B11" s="15" t="inlineStr">
        <is>
          <t>어르신 돌봄 프로그램 하는 데</t>
        </is>
      </c>
      <c r="C11" s="9" t="inlineStr">
        <is>
          <t>평이·목적</t>
        </is>
      </c>
      <c r="D11" s="9" t="inlineStr">
        <is>
          <t>GL2</t>
        </is>
      </c>
      <c r="E11" s="15" t="inlineStr">
        <is>
          <t>2F 다함께 노인돌봄센터</t>
        </is>
      </c>
      <c r="F11" s="9" t="inlineStr">
        <is>
          <t>GL2</t>
        </is>
      </c>
      <c r="G11" s="9" t="inlineStr">
        <is>
          <t>① 필터</t>
        </is>
      </c>
      <c r="H11" s="27" t="inlineStr">
        <is>
          <t>○</t>
        </is>
      </c>
      <c r="I11" s="9" t="inlineStr">
        <is>
          <t>[일일 한도 초과(429)]</t>
        </is>
      </c>
    </row>
    <row r="12">
      <c r="A12" s="9" t="n">
        <v>8</v>
      </c>
      <c r="B12" s="15" t="inlineStr">
        <is>
          <t>돌잔치 할 만한 넓은 공간</t>
        </is>
      </c>
      <c r="C12" s="9" t="inlineStr">
        <is>
          <t>중간·유추</t>
        </is>
      </c>
      <c r="D12" s="9" t="inlineStr">
        <is>
          <t>GL6</t>
        </is>
      </c>
      <c r="E12" s="15" t="inlineStr">
        <is>
          <t>6F 주민라운지 — 계획서에 돌잔치·소규모 축하연 명시</t>
        </is>
      </c>
      <c r="F12" s="9" t="inlineStr">
        <is>
          <t>GL6</t>
        </is>
      </c>
      <c r="G12" s="9" t="inlineStr">
        <is>
          <t>③ 임베딩</t>
        </is>
      </c>
      <c r="H12" s="27" t="inlineStr">
        <is>
          <t>○</t>
        </is>
      </c>
      <c r="I12" s="9" t="inlineStr">
        <is>
          <t>[일일 한도 초과(429)]</t>
        </is>
      </c>
    </row>
    <row r="13">
      <c r="A13" s="9" t="n">
        <v>9</v>
      </c>
      <c r="B13" s="15" t="inlineStr">
        <is>
          <t>스터디 모임 3명이서</t>
        </is>
      </c>
      <c r="C13" s="9" t="inlineStr">
        <is>
          <t>중간·조건</t>
        </is>
      </c>
      <c r="D13" s="9" t="inlineStr">
        <is>
          <t>GL4M</t>
        </is>
      </c>
      <c r="E13" s="15" t="inlineStr">
        <is>
          <t>4F 모임방 = 대화 가능한 유일 구역, 2~6명</t>
        </is>
      </c>
      <c r="F13" s="9" t="inlineStr">
        <is>
          <t>GL4M,HO3</t>
        </is>
      </c>
      <c r="G13" s="9" t="inlineStr">
        <is>
          <t>① 필터</t>
        </is>
      </c>
      <c r="H13" s="27" t="inlineStr">
        <is>
          <t>○</t>
        </is>
      </c>
      <c r="I13" s="9" t="inlineStr">
        <is>
          <t>[일일 한도 초과(429)]</t>
        </is>
      </c>
    </row>
    <row r="14">
      <c r="A14" s="9" t="n">
        <v>10</v>
      </c>
      <c r="B14" s="15" t="inlineStr">
        <is>
          <t>밀키트 만드는 주방 빌릴 수 있나요</t>
        </is>
      </c>
      <c r="C14" s="9" t="inlineStr">
        <is>
          <t>중간·용어</t>
        </is>
      </c>
      <c r="D14" s="9" t="inlineStr">
        <is>
          <t>GL3</t>
        </is>
      </c>
      <c r="E14" s="15" t="inlineStr">
        <is>
          <t>3F CK = 밀키트 제조·위탁판매</t>
        </is>
      </c>
      <c r="F14" s="9" t="inlineStr">
        <is>
          <t>GL3,HO2</t>
        </is>
      </c>
      <c r="G14" s="9" t="inlineStr">
        <is>
          <t>① 필터</t>
        </is>
      </c>
      <c r="H14" s="27" t="inlineStr">
        <is>
          <t>○</t>
        </is>
      </c>
      <c r="I14" s="9" t="inlineStr">
        <is>
          <t>[일일 한도 초과(429)]</t>
        </is>
      </c>
    </row>
    <row r="15">
      <c r="A15" s="9" t="n">
        <v>11</v>
      </c>
      <c r="B15" s="15" t="inlineStr">
        <is>
          <t>봉하의 자겁실</t>
        </is>
      </c>
      <c r="C15" s="9" t="inlineStr">
        <is>
          <t>어려움·오타</t>
        </is>
      </c>
      <c r="D15" s="9" t="inlineStr">
        <is>
          <t>GL4</t>
        </is>
      </c>
      <c r="E15" s="15" t="inlineStr">
        <is>
          <t>"봉화의 작업실" 오타 (자모 2곳 변형)</t>
        </is>
      </c>
      <c r="F15" s="9" t="inlineStr">
        <is>
          <t>GL4</t>
        </is>
      </c>
      <c r="G15" s="9" t="inlineStr">
        <is>
          <t>② 퍼지</t>
        </is>
      </c>
      <c r="H15" s="27" t="inlineStr">
        <is>
          <t>○</t>
        </is>
      </c>
      <c r="I15" s="9" t="inlineStr">
        <is>
          <t>[일일 한도 초과(429)]</t>
        </is>
      </c>
    </row>
    <row r="16">
      <c r="A16" s="9" t="n">
        <v>12</v>
      </c>
      <c r="B16" s="15" t="inlineStr">
        <is>
          <t>게스트하우쓰</t>
        </is>
      </c>
      <c r="C16" s="9" t="inlineStr">
        <is>
          <t>어려움·오타</t>
        </is>
      </c>
      <c r="D16" s="9" t="inlineStr">
        <is>
          <t>GL7</t>
        </is>
      </c>
      <c r="E16" s="15" t="inlineStr">
        <is>
          <t>"게스트하우스" 오타</t>
        </is>
      </c>
      <c r="F16" s="9" t="inlineStr">
        <is>
          <t>GL7</t>
        </is>
      </c>
      <c r="G16" s="9" t="inlineStr">
        <is>
          <t>② 퍼지</t>
        </is>
      </c>
      <c r="H16" s="27" t="inlineStr">
        <is>
          <t>○</t>
        </is>
      </c>
      <c r="I16" s="9" t="inlineStr">
        <is>
          <t>[일일 한도 초과(429)]</t>
        </is>
      </c>
    </row>
    <row r="17">
      <c r="A17" s="9" t="n">
        <v>13</v>
      </c>
      <c r="B17" s="15" t="inlineStr">
        <is>
          <t>애들 데리고 뭐 만들기 하는 거</t>
        </is>
      </c>
      <c r="C17" s="9" t="inlineStr">
        <is>
          <t>어려움·구어체</t>
        </is>
      </c>
      <c r="D17" s="9" t="inlineStr">
        <is>
          <t>GL5</t>
        </is>
      </c>
      <c r="E17" s="15" t="inlineStr">
        <is>
          <t>체험 프로그램 — 키워드 사전에 없는 표현</t>
        </is>
      </c>
      <c r="F17" s="9" t="inlineStr">
        <is>
          <t>GL5</t>
        </is>
      </c>
      <c r="G17" s="9" t="inlineStr">
        <is>
          <t>① 필터</t>
        </is>
      </c>
      <c r="H17" s="27" t="inlineStr">
        <is>
          <t>○</t>
        </is>
      </c>
      <c r="I17" s="9" t="inlineStr">
        <is>
          <t>[일일 한도 초과(429)]</t>
        </is>
      </c>
    </row>
    <row r="18">
      <c r="A18" s="9" t="n">
        <v>14</v>
      </c>
      <c r="B18" s="15" t="inlineStr">
        <is>
          <t>커피 마시면서 책 읽을 데 없나</t>
        </is>
      </c>
      <c r="C18" s="9" t="inlineStr">
        <is>
          <t>어려움·구어체</t>
        </is>
      </c>
      <c r="D18" s="9" t="inlineStr">
        <is>
          <t>GL4</t>
        </is>
      </c>
      <c r="E18" s="15" t="inlineStr">
        <is>
          <t>4F = 음료 제공 + 책장(F구역) + 독서</t>
        </is>
      </c>
      <c r="F18" s="9" t="inlineStr">
        <is>
          <t>GL4</t>
        </is>
      </c>
      <c r="G18" s="9" t="inlineStr">
        <is>
          <t>① 필터</t>
        </is>
      </c>
      <c r="H18" s="27" t="inlineStr">
        <is>
          <t>○</t>
        </is>
      </c>
      <c r="I18" s="9" t="inlineStr">
        <is>
          <t>[일일 한도 초과(429)]</t>
        </is>
      </c>
    </row>
    <row r="19">
      <c r="A19" s="9" t="n">
        <v>15</v>
      </c>
      <c r="B19" s="15" t="inlineStr">
        <is>
          <t>세미나 열 장소가 필요합니다</t>
        </is>
      </c>
      <c r="C19" s="9" t="inlineStr">
        <is>
          <t>중간·유추</t>
        </is>
      </c>
      <c r="D19" s="9" t="inlineStr">
        <is>
          <t>GL6,GL4M</t>
        </is>
      </c>
      <c r="E19" s="15" t="inlineStr">
        <is>
          <t>6F 세미나↔연회 전환 / 4F 모임방 소회의</t>
        </is>
      </c>
      <c r="F19" s="9" t="inlineStr">
        <is>
          <t>GL4M,HO3,HO1</t>
        </is>
      </c>
      <c r="G19" s="9" t="inlineStr">
        <is>
          <t>① 필터</t>
        </is>
      </c>
      <c r="H19" s="27" t="inlineStr">
        <is>
          <t>○</t>
        </is>
      </c>
      <c r="I19" s="9" t="inlineStr">
        <is>
          <t>[일일 한도 초과(429)]</t>
        </is>
      </c>
    </row>
    <row r="20">
      <c r="A20" s="9" t="n">
        <v>16</v>
      </c>
      <c r="B20" s="15" t="inlineStr">
        <is>
          <t>20명 단체 공예 수업</t>
        </is>
      </c>
      <c r="C20" s="9" t="inlineStr">
        <is>
          <t>어려움·복합조건</t>
        </is>
      </c>
      <c r="D20" s="9" t="inlineStr">
        <is>
          <t>GL5</t>
        </is>
      </c>
      <c r="E20" s="15" t="inlineStr">
        <is>
          <t>5F 체험실 단체 20명 시 34㎡ (계획서 5-10 B구역)</t>
        </is>
      </c>
      <c r="F20" s="9" t="inlineStr">
        <is>
          <t>GL5</t>
        </is>
      </c>
      <c r="G20" s="9" t="inlineStr">
        <is>
          <t>① 필터</t>
        </is>
      </c>
      <c r="H20" s="27" t="inlineStr">
        <is>
          <t>○</t>
        </is>
      </c>
      <c r="I20" s="9" t="inlineStr">
        <is>
          <t>[일일 한도 초과(429)]</t>
        </is>
      </c>
    </row>
    <row r="21">
      <c r="A21" s="9" t="n">
        <v>17</v>
      </c>
      <c r="B21" s="15" t="inlineStr">
        <is>
          <t>작가가 작업할 공방 임대</t>
        </is>
      </c>
      <c r="C21" s="9" t="inlineStr">
        <is>
          <t>어려움·복합조건</t>
        </is>
      </c>
      <c r="D21" s="9" t="inlineStr">
        <is>
          <t>GL5</t>
        </is>
      </c>
      <c r="E21" s="15" t="inlineStr">
        <is>
          <t>5F 입주 공방 4실 (관리위탁·제3자 사용수익)</t>
        </is>
      </c>
      <c r="F21" s="9" t="inlineStr">
        <is>
          <t>GL5</t>
        </is>
      </c>
      <c r="G21" s="9" t="inlineStr">
        <is>
          <t>① 필터</t>
        </is>
      </c>
      <c r="H21" s="27" t="inlineStr">
        <is>
          <t>○</t>
        </is>
      </c>
      <c r="I21" s="9" t="inlineStr">
        <is>
          <t>[일일 한도 초과(429)]</t>
        </is>
      </c>
    </row>
    <row r="22">
      <c r="A22" s="9" t="n">
        <v>18</v>
      </c>
      <c r="B22" s="15" t="inlineStr">
        <is>
          <t>수영장 빌릴 수 있나요</t>
        </is>
      </c>
      <c r="C22" s="9" t="inlineStr">
        <is>
          <t>경계·미보유</t>
        </is>
      </c>
      <c r="D22" s="9" t="inlineStr">
        <is>
          <t>(0건)</t>
        </is>
      </c>
      <c r="E22" s="15" t="inlineStr">
        <is>
          <t>거점시설에 체육시설 없음 → 0건이 정답</t>
        </is>
      </c>
      <c r="F22" s="9" t="inlineStr">
        <is>
          <t>(0건)</t>
        </is>
      </c>
      <c r="G22" s="9" t="inlineStr">
        <is>
          <t>③ 임베딩</t>
        </is>
      </c>
      <c r="H22" s="27" t="inlineStr">
        <is>
          <t>○</t>
        </is>
      </c>
      <c r="I22" s="9" t="inlineStr">
        <is>
          <t>[일일 한도 초과(429)]</t>
        </is>
      </c>
    </row>
    <row r="23">
      <c r="A23" s="9" t="n">
        <v>19</v>
      </c>
      <c r="B23" s="15" t="inlineStr">
        <is>
          <t>영주에 20명 회의실 있나요</t>
        </is>
      </c>
      <c r="C23" s="9" t="inlineStr">
        <is>
          <t>경계·타지역</t>
        </is>
      </c>
      <c r="D23" s="9" t="inlineStr">
        <is>
          <t>(0건)</t>
        </is>
      </c>
      <c r="E23" s="15" t="inlineStr">
        <is>
          <t>봉화 데이터만 보유 → 0건 + 정직 안내가 정답</t>
        </is>
      </c>
      <c r="F23" s="9" t="inlineStr">
        <is>
          <t>(0건)</t>
        </is>
      </c>
      <c r="G23" s="9" t="inlineStr">
        <is>
          <t>① 필터</t>
        </is>
      </c>
      <c r="H23" s="27" t="inlineStr">
        <is>
          <t>○</t>
        </is>
      </c>
      <c r="I23" s="9" t="inlineStr">
        <is>
          <t>[일일 한도 초과(429)]</t>
        </is>
      </c>
    </row>
    <row r="24">
      <c r="A24" s="9" t="n">
        <v>20</v>
      </c>
      <c r="B24" s="15" t="inlineStr">
        <is>
          <t>볼링장이나 당구장</t>
        </is>
      </c>
      <c r="C24" s="9" t="inlineStr">
        <is>
          <t>경계·미보유</t>
        </is>
      </c>
      <c r="D24" s="9" t="inlineStr">
        <is>
          <t>(0건)</t>
        </is>
      </c>
      <c r="E24" s="15" t="inlineStr">
        <is>
          <t>해당 시설 없음 → 0건이 정답</t>
        </is>
      </c>
      <c r="F24" s="9" t="inlineStr">
        <is>
          <t>(0건)</t>
        </is>
      </c>
      <c r="G24" s="9" t="inlineStr">
        <is>
          <t>③ 임베딩</t>
        </is>
      </c>
      <c r="H24" s="27" t="inlineStr">
        <is>
          <t>○</t>
        </is>
      </c>
      <c r="I24" s="9" t="inlineStr">
        <is>
          <t>[일일 한도 초과(429)]</t>
        </is>
      </c>
    </row>
    <row r="25">
      <c r="A25" s="38" t="n">
        <v>101</v>
      </c>
      <c r="B25" s="39" t="inlineStr">
        <is>
          <t>김치 담글 데</t>
        </is>
      </c>
      <c r="C25" s="38" t="inlineStr">
        <is>
          <t>홀드아웃</t>
        </is>
      </c>
      <c r="D25" s="38" t="inlineStr">
        <is>
          <t>GL3</t>
        </is>
      </c>
      <c r="E25" s="39" t="inlineStr">
        <is>
          <t>3F 센트럴 키친</t>
        </is>
      </c>
      <c r="F25" s="38" t="inlineStr">
        <is>
          <t>GL3,HO2</t>
        </is>
      </c>
      <c r="G25" s="38" t="inlineStr">
        <is>
          <t>① 필터</t>
        </is>
      </c>
      <c r="H25" s="40" t="inlineStr">
        <is>
          <t>○</t>
        </is>
      </c>
      <c r="I25" s="38" t="inlineStr">
        <is>
          <t>—</t>
        </is>
      </c>
    </row>
    <row r="26">
      <c r="A26" s="38" t="n">
        <v>102</v>
      </c>
      <c r="B26" s="39" t="inlineStr">
        <is>
          <t>회의할 데 좀 알려줘</t>
        </is>
      </c>
      <c r="C26" s="38" t="inlineStr">
        <is>
          <t>홀드아웃</t>
        </is>
      </c>
      <c r="D26" s="38" t="inlineStr">
        <is>
          <t>GL4M,GL6</t>
        </is>
      </c>
      <c r="E26" s="39" t="inlineStr">
        <is>
          <t>4F 모임방 / 6F 라운지</t>
        </is>
      </c>
      <c r="F26" s="38" t="inlineStr">
        <is>
          <t>GL4M,HO3,HO1</t>
        </is>
      </c>
      <c r="G26" s="38" t="inlineStr">
        <is>
          <t>① 필터</t>
        </is>
      </c>
      <c r="H26" s="40" t="inlineStr">
        <is>
          <t>○</t>
        </is>
      </c>
      <c r="I26" s="38" t="inlineStr">
        <is>
          <t>—</t>
        </is>
      </c>
    </row>
    <row r="27">
      <c r="A27" s="38" t="n">
        <v>103</v>
      </c>
      <c r="B27" s="39" t="inlineStr">
        <is>
          <t>책 보면서 시간 보낼 곳</t>
        </is>
      </c>
      <c r="C27" s="38" t="inlineStr">
        <is>
          <t>홀드아웃</t>
        </is>
      </c>
      <c r="D27" s="38" t="inlineStr">
        <is>
          <t>GL4</t>
        </is>
      </c>
      <c r="E27" s="39" t="inlineStr">
        <is>
          <t>4F 작업실 — 책장·정숙</t>
        </is>
      </c>
      <c r="F27" s="38" t="inlineStr">
        <is>
          <t>GL4</t>
        </is>
      </c>
      <c r="G27" s="38" t="inlineStr">
        <is>
          <t>③ 임베딩</t>
        </is>
      </c>
      <c r="H27" s="40" t="inlineStr">
        <is>
          <t>○</t>
        </is>
      </c>
      <c r="I27" s="38" t="inlineStr">
        <is>
          <t>—</t>
        </is>
      </c>
    </row>
    <row r="28">
      <c r="A28" s="38" t="n">
        <v>104</v>
      </c>
      <c r="B28" s="39" t="inlineStr">
        <is>
          <t>도자기 배우고 싶어요</t>
        </is>
      </c>
      <c r="C28" s="38" t="inlineStr">
        <is>
          <t>홀드아웃</t>
        </is>
      </c>
      <c r="D28" s="38" t="inlineStr">
        <is>
          <t>GL5</t>
        </is>
      </c>
      <c r="E28" s="39" t="inlineStr">
        <is>
          <t>5F 체험 — 도자(성형 공정) 가능 업종</t>
        </is>
      </c>
      <c r="F28" s="38" t="inlineStr">
        <is>
          <t>GL5</t>
        </is>
      </c>
      <c r="G28" s="38" t="inlineStr">
        <is>
          <t>① 필터</t>
        </is>
      </c>
      <c r="H28" s="40" t="inlineStr">
        <is>
          <t>○</t>
        </is>
      </c>
      <c r="I28" s="38" t="inlineStr">
        <is>
          <t>—</t>
        </is>
      </c>
    </row>
    <row r="29">
      <c r="A29" s="38" t="n">
        <v>105</v>
      </c>
      <c r="B29" s="39" t="inlineStr">
        <is>
          <t>민박 같은 거 있나요</t>
        </is>
      </c>
      <c r="C29" s="38" t="inlineStr">
        <is>
          <t>홀드아웃</t>
        </is>
      </c>
      <c r="D29" s="38" t="inlineStr">
        <is>
          <t>GL7</t>
        </is>
      </c>
      <c r="E29" s="39" t="inlineStr">
        <is>
          <t>7F 게스트하우스</t>
        </is>
      </c>
      <c r="F29" s="38" t="inlineStr">
        <is>
          <t>GL7</t>
        </is>
      </c>
      <c r="G29" s="38" t="inlineStr">
        <is>
          <t>① 필터</t>
        </is>
      </c>
      <c r="H29" s="40" t="inlineStr">
        <is>
          <t>○</t>
        </is>
      </c>
      <c r="I29" s="38" t="inlineStr">
        <is>
          <t>—</t>
        </is>
      </c>
    </row>
    <row r="30">
      <c r="A30" s="38" t="n">
        <v>106</v>
      </c>
      <c r="B30" s="39" t="inlineStr">
        <is>
          <t>작품 구경하고 살 수 있는 곳</t>
        </is>
      </c>
      <c r="C30" s="38" t="inlineStr">
        <is>
          <t>홀드아웃</t>
        </is>
      </c>
      <c r="D30" s="38" t="inlineStr">
        <is>
          <t>GL5G</t>
        </is>
      </c>
      <c r="E30" s="39" t="inlineStr">
        <is>
          <t>5F 전시·판매실</t>
        </is>
      </c>
      <c r="F30" s="38" t="inlineStr">
        <is>
          <t>GL5G,GL5</t>
        </is>
      </c>
      <c r="G30" s="38" t="inlineStr">
        <is>
          <t>③ 임베딩</t>
        </is>
      </c>
      <c r="H30" s="40" t="inlineStr">
        <is>
          <t>○</t>
        </is>
      </c>
      <c r="I30" s="38" t="inlineStr">
        <is>
          <t>—</t>
        </is>
      </c>
    </row>
    <row r="31">
      <c r="A31" s="38" t="n">
        <v>107</v>
      </c>
      <c r="B31" s="39" t="inlineStr">
        <is>
          <t>경로당 같은 시설</t>
        </is>
      </c>
      <c r="C31" s="38" t="inlineStr">
        <is>
          <t>홀드아웃</t>
        </is>
      </c>
      <c r="D31" s="38" t="inlineStr">
        <is>
          <t>GL2</t>
        </is>
      </c>
      <c r="E31" s="39" t="inlineStr">
        <is>
          <t>2F 노인돌봄센터</t>
        </is>
      </c>
      <c r="F31" s="38" t="inlineStr">
        <is>
          <t>GL2</t>
        </is>
      </c>
      <c r="G31" s="38" t="inlineStr">
        <is>
          <t>① 필터</t>
        </is>
      </c>
      <c r="H31" s="40" t="inlineStr">
        <is>
          <t>○</t>
        </is>
      </c>
      <c r="I31" s="38" t="inlineStr">
        <is>
          <t>—</t>
        </is>
      </c>
    </row>
    <row r="32">
      <c r="A32" s="38" t="n">
        <v>108</v>
      </c>
      <c r="B32" s="39" t="inlineStr">
        <is>
          <t>동호회 정기모임 장소</t>
        </is>
      </c>
      <c r="C32" s="38" t="inlineStr">
        <is>
          <t>홀드아웃</t>
        </is>
      </c>
      <c r="D32" s="38" t="inlineStr">
        <is>
          <t>GL6,GL4M</t>
        </is>
      </c>
      <c r="E32" s="39" t="inlineStr">
        <is>
          <t>6F 동호회 대관 명시</t>
        </is>
      </c>
      <c r="F32" s="38" t="inlineStr">
        <is>
          <t>GL4M,HO3,HO1</t>
        </is>
      </c>
      <c r="G32" s="38" t="inlineStr">
        <is>
          <t>① 필터</t>
        </is>
      </c>
      <c r="H32" s="40" t="inlineStr">
        <is>
          <t>○</t>
        </is>
      </c>
      <c r="I32" s="38" t="inlineStr">
        <is>
          <t>—</t>
        </is>
      </c>
    </row>
    <row r="33">
      <c r="A33" s="38" t="n">
        <v>109</v>
      </c>
      <c r="B33" s="39" t="inlineStr">
        <is>
          <t>탁구장 있나요</t>
        </is>
      </c>
      <c r="C33" s="38" t="inlineStr">
        <is>
          <t>홀드아웃·경계</t>
        </is>
      </c>
      <c r="D33" s="38" t="inlineStr">
        <is>
          <t>(0건)</t>
        </is>
      </c>
      <c r="E33" s="39" t="inlineStr">
        <is>
          <t>체육시설 미보유 → 0건</t>
        </is>
      </c>
      <c r="F33" s="38" t="inlineStr">
        <is>
          <t>(0건)</t>
        </is>
      </c>
      <c r="G33" s="38" t="inlineStr">
        <is>
          <t>③ 임베딩</t>
        </is>
      </c>
      <c r="H33" s="40" t="inlineStr">
        <is>
          <t>○</t>
        </is>
      </c>
      <c r="I33" s="38" t="inlineStr">
        <is>
          <t>—</t>
        </is>
      </c>
    </row>
    <row r="34">
      <c r="A34" s="38" t="n">
        <v>110</v>
      </c>
      <c r="B34" s="39" t="inlineStr">
        <is>
          <t>안동에 세미나실 있나요</t>
        </is>
      </c>
      <c r="C34" s="38" t="inlineStr">
        <is>
          <t>홀드아웃·경계</t>
        </is>
      </c>
      <c r="D34" s="38" t="inlineStr">
        <is>
          <t>(0건)</t>
        </is>
      </c>
      <c r="E34" s="39" t="inlineStr">
        <is>
          <t>타 지역 → 0건</t>
        </is>
      </c>
      <c r="F34" s="38" t="inlineStr">
        <is>
          <t>(0건)</t>
        </is>
      </c>
      <c r="G34" s="38" t="inlineStr">
        <is>
          <t>① 필터</t>
        </is>
      </c>
      <c r="H34" s="40" t="inlineStr">
        <is>
          <t>○</t>
        </is>
      </c>
      <c r="I34" s="38" t="inlineStr">
        <is>
          <t>—</t>
        </is>
      </c>
    </row>
    <row r="36">
      <c r="A36" s="31" t="inlineStr">
        <is>
          <t>※ 회색 배경(101~110)은 홀드아웃. 표의 '4계층 결과'는 결함 수리 후의 최종 상태이므로 전건 적중으로 보인다. 수리 전 성적(튜닝셋 85%, 홀드아웃 80%)은 위 측정 결과표에 남겨 두었다. ※ 'LLM 단독' 열의 [일일 한도 초과]는 모델의 오답이 아니라 무료 티어 한도로 호출 자체가 막힌 것이다.</t>
        </is>
      </c>
    </row>
    <row r="37"/>
    <row r="38"/>
  </sheetData>
  <mergeCells count="3">
    <mergeCell ref="A1:I1"/>
    <mergeCell ref="A36:I38"/>
    <mergeCell ref="A2:I2"/>
  </mergeCells>
  <printOptions horizontalCentered="0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2026-08-13T02:53:00Z</dcterms:created>
  <dcterms:modified xmlns:dcterms="http://purl.org/dc/terms/" xmlns:xsi="http://www.w3.org/2001/XMLSchema-instance" xsi:type="dcterms:W3CDTF">2026-08-13T02:53:00Z</dcterms:modified>
</cp:coreProperties>
</file>